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tabRatio="864" activeTab="1"/>
  </bookViews>
  <sheets>
    <sheet name="User Guide" sheetId="1" r:id="rId1"/>
    <sheet name="Summary" sheetId="2" r:id="rId2"/>
    <sheet name="NPV Profile" sheetId="15" r:id="rId3"/>
    <sheet name="ProjectA" sheetId="3" r:id="rId4"/>
    <sheet name="ProjectB" sheetId="4" r:id="rId5"/>
    <sheet name="ProjectC" sheetId="5" r:id="rId6"/>
    <sheet name="ProjectD" sheetId="6" r:id="rId7"/>
    <sheet name="ProjectE" sheetId="8" r:id="rId8"/>
    <sheet name="ProjectF" sheetId="7" r:id="rId9"/>
    <sheet name="ProjectG" sheetId="9" r:id="rId10"/>
    <sheet name="ProjectH" sheetId="10" r:id="rId11"/>
    <sheet name="ProjectI" sheetId="11" r:id="rId12"/>
    <sheet name="ProjectJ" sheetId="12" r:id="rId13"/>
    <sheet name="ProjectK" sheetId="13" r:id="rId14"/>
  </sheets>
  <definedNames>
    <definedName name="MaxB">Summary!$E$8</definedName>
    <definedName name="Maxinvest">Summary!$B$8</definedName>
    <definedName name="MinB">Summary!$E$7</definedName>
    <definedName name="Mininvest">Summary!$B$7</definedName>
    <definedName name="mut_one">Summary!$AF$17</definedName>
    <definedName name="mutconst">Summary!$AF$16</definedName>
    <definedName name="Pro_1">Summary!$AH$5</definedName>
    <definedName name="Pro_10">Summary!$AH$14</definedName>
    <definedName name="Pro_11">Summary!$AH$15</definedName>
    <definedName name="Pro_2">Summary!$AH$6</definedName>
    <definedName name="Pro_3">Summary!$AH$7</definedName>
    <definedName name="Pro_4">Summary!$AH$8</definedName>
    <definedName name="Pro_5">Summary!$AH$9</definedName>
    <definedName name="Pro_6">Summary!$AH$10</definedName>
    <definedName name="Pro_7">Summary!$AH$11</definedName>
    <definedName name="Pro_8">Summary!$AH$12</definedName>
    <definedName name="Pro_9">Summary!$AH$13</definedName>
    <definedName name="solver_adj" localSheetId="1" hidden="1">Summary!$AH$5:$AH$15</definedName>
    <definedName name="solver_cvg" localSheetId="1" hidden="1">0.0001</definedName>
    <definedName name="solver_drv" localSheetId="1" hidden="1">1</definedName>
    <definedName name="solver_eng" localSheetId="1" hidden="1">3</definedName>
    <definedName name="solver_est" localSheetId="1" hidden="1">1</definedName>
    <definedName name="solver_itr" localSheetId="1" hidden="1">2147483647</definedName>
    <definedName name="solver_lhs1" localSheetId="1" hidden="1">Summary!$AH$5:$AH$15</definedName>
    <definedName name="solver_lhs2" localSheetId="1" hidden="1">Summary!$I$7</definedName>
    <definedName name="solver_lhs3" localSheetId="1" hidden="1">Summary!$I$7</definedName>
    <definedName name="solver_lhs4" localSheetId="1" hidden="1">Summary!$AF$16</definedName>
    <definedName name="solver_lhs5" localSheetId="1" hidden="1">Summary!$I$5</definedName>
    <definedName name="solver_lhs6" localSheetId="1" hidden="1">Summary!$I$5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6</definedName>
    <definedName name="solver_nwt" localSheetId="1" hidden="1">1</definedName>
    <definedName name="solver_opt" localSheetId="1" hidden="1">Summary!$I$6</definedName>
    <definedName name="solver_pre" localSheetId="1" hidden="1">0.000001</definedName>
    <definedName name="solver_rbv" localSheetId="1" hidden="1">1</definedName>
    <definedName name="solver_rel1" localSheetId="1" hidden="1">5</definedName>
    <definedName name="solver_rel2" localSheetId="1" hidden="1">1</definedName>
    <definedName name="solver_rel3" localSheetId="1" hidden="1">3</definedName>
    <definedName name="solver_rel4" localSheetId="1" hidden="1">1</definedName>
    <definedName name="solver_rel5" localSheetId="1" hidden="1">1</definedName>
    <definedName name="solver_rel6" localSheetId="1" hidden="1">3</definedName>
    <definedName name="solver_rhs1" localSheetId="1" hidden="1">binary</definedName>
    <definedName name="solver_rhs2" localSheetId="1" hidden="1">Summary!$E$8</definedName>
    <definedName name="solver_rhs3" localSheetId="1" hidden="1">Summary!$E$7</definedName>
    <definedName name="solver_rhs4" localSheetId="1" hidden="1">Summary!$AF$17</definedName>
    <definedName name="solver_rhs5" localSheetId="1" hidden="1">Summary!$B$8</definedName>
    <definedName name="solver_rhs6" localSheetId="1" hidden="1">Summary!$B$7</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0</definedName>
    <definedName name="solver_ver" localSheetId="1" hidden="1">3</definedName>
    <definedName name="totalB">Summary!$I$7</definedName>
    <definedName name="TotalInv">Summary!$I$5</definedName>
    <definedName name="TotalNPV">Summary!$I$6</definedName>
  </definedNames>
  <calcPr calcId="152511"/>
</workbook>
</file>

<file path=xl/calcChain.xml><?xml version="1.0" encoding="utf-8"?>
<calcChain xmlns="http://schemas.openxmlformats.org/spreadsheetml/2006/main">
  <c r="E11" i="15" l="1"/>
  <c r="E12" i="15" l="1"/>
  <c r="F11" i="15"/>
  <c r="I3" i="2"/>
  <c r="F6" i="3"/>
  <c r="F6" i="6"/>
  <c r="F7" i="5"/>
  <c r="F7" i="3"/>
  <c r="F4" i="3"/>
  <c r="I5" i="2"/>
  <c r="I7" i="2" s="1"/>
  <c r="J15" i="2"/>
  <c r="J16" i="2"/>
  <c r="J17" i="2"/>
  <c r="J18" i="2"/>
  <c r="J19" i="2"/>
  <c r="J20" i="2"/>
  <c r="J21" i="2"/>
  <c r="J22" i="2"/>
  <c r="J23" i="2"/>
  <c r="J24" i="2"/>
  <c r="J14" i="2"/>
  <c r="E13" i="15" l="1"/>
  <c r="F12" i="15"/>
  <c r="I4" i="2"/>
  <c r="AF7" i="2"/>
  <c r="AF8" i="2"/>
  <c r="AF9" i="2"/>
  <c r="AF10" i="2"/>
  <c r="AF11" i="2"/>
  <c r="AF12" i="2"/>
  <c r="AF13" i="2"/>
  <c r="AF14" i="2"/>
  <c r="AF15" i="2"/>
  <c r="AG6" i="2"/>
  <c r="AF6" i="2" s="1"/>
  <c r="AG7" i="2"/>
  <c r="AG8" i="2"/>
  <c r="AG9" i="2"/>
  <c r="AG10" i="2"/>
  <c r="AG11" i="2"/>
  <c r="AG12" i="2"/>
  <c r="AG13" i="2"/>
  <c r="AG14" i="2"/>
  <c r="AG15" i="2"/>
  <c r="AG5" i="2"/>
  <c r="AF5" i="2" s="1"/>
  <c r="E14" i="15" l="1"/>
  <c r="F13" i="15"/>
  <c r="AF16" i="2"/>
  <c r="E15" i="15" l="1"/>
  <c r="F14" i="15"/>
  <c r="AG5" i="15"/>
  <c r="B24" i="15"/>
  <c r="B9" i="15"/>
  <c r="B29" i="15"/>
  <c r="B11" i="15"/>
  <c r="B27" i="15"/>
  <c r="B16" i="15"/>
  <c r="B25" i="15"/>
  <c r="B18" i="15"/>
  <c r="B21" i="15"/>
  <c r="B23" i="15"/>
  <c r="B12" i="15"/>
  <c r="B28" i="15"/>
  <c r="B14" i="15"/>
  <c r="B20" i="15"/>
  <c r="B8" i="15"/>
  <c r="B17" i="15"/>
  <c r="B10" i="15"/>
  <c r="B13" i="15"/>
  <c r="B22" i="15"/>
  <c r="B26" i="15"/>
  <c r="B15" i="15"/>
  <c r="B19" i="15"/>
  <c r="B5" i="15"/>
  <c r="G10" i="15" l="1"/>
  <c r="E16" i="15"/>
  <c r="F15" i="15"/>
  <c r="AG16" i="2"/>
  <c r="G35" i="15"/>
  <c r="F7" i="6"/>
  <c r="F17" i="2"/>
  <c r="F24" i="2"/>
  <c r="D24" i="2"/>
  <c r="C24" i="2"/>
  <c r="B24" i="2"/>
  <c r="F23" i="2"/>
  <c r="D23" i="2"/>
  <c r="C23" i="2"/>
  <c r="B23" i="2"/>
  <c r="F22" i="2"/>
  <c r="D22" i="2"/>
  <c r="C22" i="2"/>
  <c r="B22" i="2"/>
  <c r="F21" i="2"/>
  <c r="D21" i="2"/>
  <c r="C21" i="2"/>
  <c r="B21" i="2"/>
  <c r="F20" i="2"/>
  <c r="D20" i="2"/>
  <c r="C20" i="2"/>
  <c r="B20" i="2"/>
  <c r="F19" i="2"/>
  <c r="D19" i="2"/>
  <c r="C19" i="2"/>
  <c r="B19" i="2"/>
  <c r="F18" i="2"/>
  <c r="D18" i="2"/>
  <c r="C18" i="2"/>
  <c r="B18" i="2"/>
  <c r="D17" i="2"/>
  <c r="C17" i="2"/>
  <c r="B17" i="2"/>
  <c r="D16" i="2"/>
  <c r="C16" i="2"/>
  <c r="B16" i="2"/>
  <c r="F15" i="2"/>
  <c r="D15" i="2"/>
  <c r="C15" i="2"/>
  <c r="B15" i="2"/>
  <c r="D14" i="2"/>
  <c r="C14" i="2"/>
  <c r="B14" i="2"/>
  <c r="F4" i="8"/>
  <c r="F5" i="8" s="1"/>
  <c r="E18" i="2" s="1"/>
  <c r="F7" i="8"/>
  <c r="F6" i="8" s="1"/>
  <c r="F6" i="13"/>
  <c r="A9" i="13"/>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F7" i="13"/>
  <c r="F4" i="13"/>
  <c r="F5" i="13" s="1"/>
  <c r="E24" i="2" s="1"/>
  <c r="A9" i="12"/>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F7" i="12"/>
  <c r="F6" i="12" s="1"/>
  <c r="F4" i="12"/>
  <c r="F5" i="12" s="1"/>
  <c r="E23" i="2" s="1"/>
  <c r="A9" i="1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F7" i="11"/>
  <c r="F6" i="11" s="1"/>
  <c r="F4" i="11"/>
  <c r="F5" i="11" s="1"/>
  <c r="E22" i="2" s="1"/>
  <c r="A9" i="10"/>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F7" i="10"/>
  <c r="F6" i="10" s="1"/>
  <c r="F4" i="10"/>
  <c r="F5" i="10" s="1"/>
  <c r="E21" i="2" s="1"/>
  <c r="A9" i="9"/>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F7" i="9"/>
  <c r="F6" i="9"/>
  <c r="F4" i="9"/>
  <c r="F5" i="9" s="1"/>
  <c r="E20" i="2" s="1"/>
  <c r="A9" i="8"/>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9" i="7"/>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F7" i="7"/>
  <c r="F6" i="7" s="1"/>
  <c r="F4" i="7"/>
  <c r="F5" i="7" s="1"/>
  <c r="E19" i="2" s="1"/>
  <c r="A9" i="6"/>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F4" i="6"/>
  <c r="F5" i="6" s="1"/>
  <c r="E17" i="2" s="1"/>
  <c r="A9" i="5"/>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F6" i="5"/>
  <c r="F16" i="2" s="1"/>
  <c r="F4" i="5"/>
  <c r="F5" i="5" s="1"/>
  <c r="E16" i="2" s="1"/>
  <c r="A9" i="4"/>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F7" i="4"/>
  <c r="F6" i="4"/>
  <c r="F4" i="4"/>
  <c r="F5" i="4" s="1"/>
  <c r="E15" i="2" s="1"/>
  <c r="E17" i="15" l="1"/>
  <c r="F16" i="15"/>
  <c r="F14" i="2"/>
  <c r="A14" i="3"/>
  <c r="A10" i="3"/>
  <c r="A11" i="3"/>
  <c r="A12" i="3"/>
  <c r="A13" i="3" s="1"/>
  <c r="A15" i="3" s="1"/>
  <c r="A16" i="3" s="1"/>
  <c r="A17" i="3" s="1"/>
  <c r="A18" i="3" s="1"/>
  <c r="A19" i="3" s="1"/>
  <c r="A20" i="3" s="1"/>
  <c r="A21" i="3" s="1"/>
  <c r="A22" i="3" s="1"/>
  <c r="A23" i="3" s="1"/>
  <c r="A24" i="3" s="1"/>
  <c r="A25" i="3" s="1"/>
  <c r="A26" i="3" s="1"/>
  <c r="A27" i="3" s="1"/>
  <c r="A28" i="3" s="1"/>
  <c r="A29" i="3" s="1"/>
  <c r="A30" i="3" s="1"/>
  <c r="A31" i="3" s="1"/>
  <c r="A32" i="3" s="1"/>
  <c r="A33" i="3" s="1"/>
  <c r="A34" i="3" s="1"/>
  <c r="A9" i="3"/>
  <c r="E18" i="15" l="1"/>
  <c r="F17" i="15"/>
  <c r="F5" i="3"/>
  <c r="E14" i="2" s="1"/>
  <c r="I6" i="2" s="1"/>
  <c r="E19" i="15" l="1"/>
  <c r="F18" i="15"/>
  <c r="E20" i="15" l="1"/>
  <c r="F19" i="15"/>
  <c r="E21" i="15" l="1"/>
  <c r="F20" i="15"/>
  <c r="E22" i="15" l="1"/>
  <c r="F21" i="15"/>
  <c r="E23" i="15" l="1"/>
  <c r="F22" i="15"/>
  <c r="E24" i="15" l="1"/>
  <c r="F23" i="15"/>
  <c r="E25" i="15" l="1"/>
  <c r="F24" i="15"/>
  <c r="E26" i="15" l="1"/>
  <c r="F25" i="15"/>
  <c r="E27" i="15" l="1"/>
  <c r="F26" i="15"/>
  <c r="E28" i="15" l="1"/>
  <c r="F27" i="15"/>
  <c r="E29" i="15" l="1"/>
  <c r="F28" i="15"/>
  <c r="E30" i="15" l="1"/>
  <c r="F29" i="15"/>
  <c r="E31" i="15" l="1"/>
  <c r="F31" i="15" s="1"/>
  <c r="F30" i="15"/>
</calcChain>
</file>

<file path=xl/comments1.xml><?xml version="1.0" encoding="utf-8"?>
<comments xmlns="http://schemas.openxmlformats.org/spreadsheetml/2006/main">
  <authors>
    <author>Author</author>
  </authors>
  <commentList>
    <comment ref="B7" authorId="0" shapeId="0">
      <text>
        <r>
          <rPr>
            <b/>
            <sz val="9"/>
            <color indexed="81"/>
            <rFont val="Tahoma"/>
            <family val="2"/>
          </rPr>
          <t>Author:</t>
        </r>
        <r>
          <rPr>
            <sz val="9"/>
            <color indexed="81"/>
            <rFont val="Tahoma"/>
            <family val="2"/>
          </rPr>
          <t xml:space="preserve">
Make sure the minimum capital should be less than maximum capital. </t>
        </r>
      </text>
    </comment>
    <comment ref="E7" authorId="0" shapeId="0">
      <text>
        <r>
          <rPr>
            <b/>
            <sz val="9"/>
            <color indexed="81"/>
            <rFont val="Tahoma"/>
            <family val="2"/>
          </rPr>
          <t>Author:</t>
        </r>
        <r>
          <rPr>
            <sz val="9"/>
            <color indexed="81"/>
            <rFont val="Tahoma"/>
            <family val="2"/>
          </rPr>
          <t xml:space="preserve">
Make sure the minimum beta should be less than maximum beta. </t>
        </r>
      </text>
    </comment>
    <comment ref="H14" authorId="0" shapeId="0">
      <text>
        <r>
          <rPr>
            <b/>
            <sz val="9"/>
            <color indexed="81"/>
            <rFont val="Tahoma"/>
            <family val="2"/>
          </rPr>
          <t>Author:</t>
        </r>
        <r>
          <rPr>
            <sz val="9"/>
            <color indexed="81"/>
            <rFont val="Tahoma"/>
            <family val="2"/>
          </rPr>
          <t xml:space="preserve">
Select X for the desired projects as mutually exclusive from the drop down menu.</t>
        </r>
      </text>
    </comment>
  </commentList>
</comments>
</file>

<file path=xl/comments2.xml><?xml version="1.0" encoding="utf-8"?>
<comments xmlns="http://schemas.openxmlformats.org/spreadsheetml/2006/main">
  <authors>
    <author>Author</author>
  </authors>
  <commentList>
    <comment ref="F3" authorId="0" shapeId="0">
      <text>
        <r>
          <rPr>
            <b/>
            <sz val="9"/>
            <color indexed="81"/>
            <rFont val="Tahoma"/>
            <family val="2"/>
          </rPr>
          <t>Author:</t>
        </r>
        <r>
          <rPr>
            <sz val="9"/>
            <color indexed="81"/>
            <rFont val="Tahoma"/>
            <family val="2"/>
          </rPr>
          <t xml:space="preserve">
Make sure the minimum discount rate should be less than maximum discount rate.</t>
        </r>
      </text>
    </comment>
  </commentList>
</comments>
</file>

<file path=xl/sharedStrings.xml><?xml version="1.0" encoding="utf-8"?>
<sst xmlns="http://schemas.openxmlformats.org/spreadsheetml/2006/main" count="182" uniqueCount="63">
  <si>
    <t>Summary</t>
  </si>
  <si>
    <t>Life</t>
  </si>
  <si>
    <t>Beta</t>
  </si>
  <si>
    <t>Year</t>
  </si>
  <si>
    <t>E(CF)</t>
  </si>
  <si>
    <t>years</t>
  </si>
  <si>
    <t>Details of Capital Project: Project A</t>
  </si>
  <si>
    <t>Accounting rate of return</t>
  </si>
  <si>
    <t>Discount rate</t>
  </si>
  <si>
    <t>Internal rate of return</t>
  </si>
  <si>
    <t>Net present value</t>
  </si>
  <si>
    <t>Risk‐free rate</t>
  </si>
  <si>
    <t>Market risk premium</t>
  </si>
  <si>
    <t>Capital Budgeting: Project Selection</t>
  </si>
  <si>
    <t>Projects considered</t>
  </si>
  <si>
    <t>Projects accepted</t>
  </si>
  <si>
    <t>Total investment</t>
  </si>
  <si>
    <t>Total NPV</t>
  </si>
  <si>
    <t>Overall beta</t>
  </si>
  <si>
    <t>ProjectA</t>
  </si>
  <si>
    <t>ProjectB</t>
  </si>
  <si>
    <t>ProjectC</t>
  </si>
  <si>
    <t>ProjectD</t>
  </si>
  <si>
    <t>ProjectE</t>
  </si>
  <si>
    <t>ProjectF</t>
  </si>
  <si>
    <t>ProjectG</t>
  </si>
  <si>
    <t>ProjectH</t>
  </si>
  <si>
    <t>ProjectI</t>
  </si>
  <si>
    <t>ProjectJ</t>
  </si>
  <si>
    <t>ProjectK</t>
  </si>
  <si>
    <t>Project</t>
  </si>
  <si>
    <t>Investment</t>
  </si>
  <si>
    <t>NPV</t>
  </si>
  <si>
    <t>IRR</t>
  </si>
  <si>
    <t>Project Characteristics</t>
  </si>
  <si>
    <t>Mutually
Exclusive</t>
  </si>
  <si>
    <t>Accept ?</t>
  </si>
  <si>
    <t>Capital Constraints</t>
  </si>
  <si>
    <t>Beta Constraints</t>
  </si>
  <si>
    <t>Min</t>
  </si>
  <si>
    <t>Max</t>
  </si>
  <si>
    <t>Details of Capital Project: Project K</t>
  </si>
  <si>
    <t>Details of Capital Project: Project J</t>
  </si>
  <si>
    <t>Details of Capital Project: Project I</t>
  </si>
  <si>
    <t>Details of Capital Project: Project H</t>
  </si>
  <si>
    <t>Details of Capital Project: Project G</t>
  </si>
  <si>
    <t>Details of Capital Project: Project F</t>
  </si>
  <si>
    <t>Details of Capital Project: Project E</t>
  </si>
  <si>
    <t>Details of Capital Project: Project D</t>
  </si>
  <si>
    <t>Details of Capital Project: Project C</t>
  </si>
  <si>
    <t>Details of Capital Project: Project B</t>
  </si>
  <si>
    <t>Mutually Exclusive</t>
  </si>
  <si>
    <t>X</t>
  </si>
  <si>
    <t>Dj</t>
  </si>
  <si>
    <t>Discount rate range
for NPV Profile</t>
  </si>
  <si>
    <t>Data Table with Fix rates</t>
  </si>
  <si>
    <t>Data Table with formulated rates</t>
  </si>
  <si>
    <t>Ask why with Formalted Rate the numbers are incorrect</t>
  </si>
  <si>
    <t xml:space="preserve">NPV Profile for </t>
  </si>
  <si>
    <t xml:space="preserve">Sum = </t>
  </si>
  <si>
    <t>Should be &lt;=1</t>
  </si>
  <si>
    <t>NPV Profile</t>
  </si>
  <si>
    <r>
      <rPr>
        <b/>
        <sz val="12"/>
        <color theme="1"/>
        <rFont val="Calibri"/>
        <family val="2"/>
        <scheme val="minor"/>
      </rPr>
      <t>User Guide for Capital Budgeting Financial Modeling Excel File</t>
    </r>
    <r>
      <rPr>
        <sz val="12"/>
        <color theme="1"/>
        <rFont val="Calibri"/>
        <family val="2"/>
        <scheme val="minor"/>
      </rPr>
      <t xml:space="preserve">
</t>
    </r>
    <r>
      <rPr>
        <b/>
        <sz val="12"/>
        <color theme="1"/>
        <rFont val="Calibri"/>
        <family val="2"/>
        <scheme val="minor"/>
      </rPr>
      <t>Introduction</t>
    </r>
    <r>
      <rPr>
        <sz val="12"/>
        <color theme="1"/>
        <rFont val="Calibri"/>
        <family val="2"/>
        <scheme val="minor"/>
      </rPr>
      <t xml:space="preserve">
Welcome to the user guide for the Capital Budgeting Financial Modeling Excel File. This tool is crafted to support corporate managers in the intricate process of selecting a subset of capital projects amidst various available options. It aids in considering constraints on total initial investment and the overall risk associated with invested capital. By optimizing the total Net Present Value (NPV) of the chosen projects, users can confidently navigate their investment portfolio.
</t>
    </r>
    <r>
      <rPr>
        <b/>
        <sz val="12"/>
        <color theme="1"/>
        <rFont val="Calibri"/>
        <family val="2"/>
        <scheme val="minor"/>
      </rPr>
      <t>Getting Started</t>
    </r>
    <r>
      <rPr>
        <sz val="12"/>
        <color theme="1"/>
        <rFont val="Calibri"/>
        <family val="2"/>
        <scheme val="minor"/>
      </rPr>
      <t xml:space="preserve">
</t>
    </r>
    <r>
      <rPr>
        <b/>
        <sz val="12"/>
        <color theme="1"/>
        <rFont val="Calibri"/>
        <family val="2"/>
        <scheme val="minor"/>
      </rPr>
      <t>1. Opening the File:</t>
    </r>
    <r>
      <rPr>
        <sz val="12"/>
        <color theme="1"/>
        <rFont val="Calibri"/>
        <family val="2"/>
        <scheme val="minor"/>
      </rPr>
      <t xml:space="preserve"> Simply double-click on the Financial Modeling Excel File to launch it in Microsoft Excel.
</t>
    </r>
    <r>
      <rPr>
        <b/>
        <sz val="12"/>
        <color theme="1"/>
        <rFont val="Calibri"/>
        <family val="2"/>
        <scheme val="minor"/>
      </rPr>
      <t>2. Navigation:</t>
    </r>
    <r>
      <rPr>
        <sz val="12"/>
        <color theme="1"/>
        <rFont val="Calibri"/>
        <family val="2"/>
        <scheme val="minor"/>
      </rPr>
      <t xml:space="preserve"> Upon opening, you'll notice multiple worksheets. Use the sheet tabs located at the bottom of the Excel window to seamlessly navigate between different sections.
</t>
    </r>
    <r>
      <rPr>
        <b/>
        <sz val="12"/>
        <color theme="1"/>
        <rFont val="Calibri"/>
        <family val="2"/>
        <scheme val="minor"/>
      </rPr>
      <t>3. Summary Worksheet:</t>
    </r>
    <r>
      <rPr>
        <sz val="12"/>
        <color theme="1"/>
        <rFont val="Calibri"/>
        <family val="2"/>
        <scheme val="minor"/>
      </rPr>
      <t xml:space="preserve"> The Summary worksheet provides an overview of essential information regarding all projects. It includes details such as investment amount, project lifespan, Betas, NPVs, IRRs, number of projects considered, number of projects accepted, total investment, total NPV, and overall beta. Clicking on the project names within this worksheet will directly link you to their respective worksheets. Additionally, each project worksheet contains a link back to the Summary worksheet for easy navigation.
</t>
    </r>
    <r>
      <rPr>
        <b/>
        <sz val="12"/>
        <color theme="1"/>
        <rFont val="Calibri"/>
        <family val="2"/>
        <scheme val="minor"/>
      </rPr>
      <t>Tips for Effective Use</t>
    </r>
    <r>
      <rPr>
        <sz val="12"/>
        <color theme="1"/>
        <rFont val="Calibri"/>
        <family val="2"/>
        <scheme val="minor"/>
      </rPr>
      <t xml:space="preserve">
</t>
    </r>
    <r>
      <rPr>
        <b/>
        <sz val="12"/>
        <color theme="1"/>
        <rFont val="Calibri"/>
        <family val="2"/>
        <scheme val="minor"/>
      </rPr>
      <t>1. Input Flexibility:</t>
    </r>
    <r>
      <rPr>
        <sz val="12"/>
        <color theme="1"/>
        <rFont val="Calibri"/>
        <family val="2"/>
        <scheme val="minor"/>
      </rPr>
      <t xml:space="preserve"> While the model comes pre-populated with sample values, it's crucial to input your own data in</t>
    </r>
    <r>
      <rPr>
        <sz val="12"/>
        <color rgb="FFE26B0A"/>
        <rFont val="Calibri"/>
        <family val="2"/>
        <scheme val="minor"/>
      </rPr>
      <t xml:space="preserve"> the orange cells</t>
    </r>
    <r>
      <rPr>
        <sz val="12"/>
        <color theme="1"/>
        <rFont val="Calibri"/>
        <family val="2"/>
        <scheme val="minor"/>
      </rPr>
      <t xml:space="preserve"> to accurately reflect the specifics of your projects. Values such as the project's lifespan, beta, and expected cash flows (E(CF)) for a capital investment project can be customized to your requirements.
</t>
    </r>
    <r>
      <rPr>
        <b/>
        <sz val="12"/>
        <color theme="1"/>
        <rFont val="Calibri"/>
        <family val="2"/>
        <scheme val="minor"/>
      </rPr>
      <t xml:space="preserve">2. NPV Profile Worksheet: </t>
    </r>
    <r>
      <rPr>
        <sz val="12"/>
        <color theme="1"/>
        <rFont val="Calibri"/>
        <family val="2"/>
        <scheme val="minor"/>
      </rPr>
      <t xml:space="preserve">Utilize the NPV Profile worksheet to delve into the Net Present Value profiles of individual projects. Adjust the minimum and maximum discount rates as needed. A dropdown box is provided to select projects for analysis. The worksheet dynamically displays NPV profiles for each project based on changes in the discount rate.
</t>
    </r>
    <r>
      <rPr>
        <b/>
        <sz val="12"/>
        <color theme="1"/>
        <rFont val="Calibri"/>
        <family val="2"/>
        <scheme val="minor"/>
      </rPr>
      <t xml:space="preserve">3. Finding the Optimal Set of Projects: </t>
    </r>
    <r>
      <rPr>
        <sz val="12"/>
        <color theme="1"/>
        <rFont val="Calibri"/>
        <family val="2"/>
        <scheme val="minor"/>
      </rPr>
      <t xml:space="preserve">On the Summary worksheet, a column is available for users to designate mutually exclusive projects. Adjust this column by selecting </t>
    </r>
    <r>
      <rPr>
        <sz val="12"/>
        <color rgb="FFE79C05"/>
        <rFont val="Calibri"/>
        <family val="2"/>
        <scheme val="minor"/>
      </rPr>
      <t>"X"</t>
    </r>
    <r>
      <rPr>
        <sz val="12"/>
        <color theme="1"/>
        <rFont val="Calibri"/>
        <family val="2"/>
        <scheme val="minor"/>
      </rPr>
      <t xml:space="preserve"> from the dropdown menu in the desired cells. After ensuring other relevant orange cells are adjusted, click on the "Find the Optimal Set of Projects" button. This functionality helps identify the optimal projects that maximize NPV while considering constraints such as minimum and maximum investment amounts and minimum and maximum Betas.
</t>
    </r>
    <r>
      <rPr>
        <b/>
        <sz val="12"/>
        <color theme="1"/>
        <rFont val="Calibri"/>
        <family val="2"/>
        <scheme val="minor"/>
      </rPr>
      <t xml:space="preserve">4. Accepted Projects: </t>
    </r>
    <r>
      <rPr>
        <sz val="12"/>
        <color theme="1"/>
        <rFont val="Calibri"/>
        <family val="2"/>
        <scheme val="minor"/>
      </rPr>
      <t xml:space="preserve">Accepted projects are indicated in the "Accept?" column with a </t>
    </r>
    <r>
      <rPr>
        <sz val="12"/>
        <color rgb="FF00B050"/>
        <rFont val="Calibri"/>
        <family val="2"/>
        <scheme val="minor"/>
      </rPr>
      <t xml:space="preserve">"Yes" </t>
    </r>
    <r>
      <rPr>
        <sz val="12"/>
        <color theme="1"/>
        <rFont val="Calibri"/>
        <family val="2"/>
        <scheme val="minor"/>
      </rPr>
      <t xml:space="preserve">designation.
</t>
    </r>
    <r>
      <rPr>
        <b/>
        <sz val="12"/>
        <color theme="1"/>
        <rFont val="Calibri"/>
        <family val="2"/>
        <scheme val="minor"/>
      </rPr>
      <t>Contact Information</t>
    </r>
    <r>
      <rPr>
        <sz val="12"/>
        <color theme="1"/>
        <rFont val="Calibri"/>
        <family val="2"/>
        <scheme val="minor"/>
      </rPr>
      <t xml:space="preserve">
For any inquiries or assistance, please feel free to reach out via email</t>
    </r>
    <r>
      <rPr>
        <sz val="12"/>
        <color rgb="FF0070C0"/>
        <rFont val="Calibri"/>
        <family val="2"/>
        <scheme val="minor"/>
      </rPr>
      <t>: zrahmati@uwm.edu.</t>
    </r>
    <r>
      <rPr>
        <sz val="12"/>
        <color theme="1"/>
        <rFont val="Calibri"/>
        <family val="2"/>
        <scheme val="minor"/>
      </rPr>
      <t xml:space="preserve">
We hope this user guide facilitates your effective utilization of the Capital Budgeting Financial Modeling Excel File.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</si>
</sst>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_([$$-409]* #,##0.00_);_([$$-409]* \(#,##0.00\);_([$$-409]* &quot;-&quot;??_);_(@_)"/>
    <numFmt numFmtId="165" formatCode="0&quot;E&quot;"/>
    <numFmt numFmtId="166" formatCode="#,##0.0_);\(#,##0.0\)"/>
    <numFmt numFmtId="167" formatCode="_([$$-409]* #,##0_);_([$$-409]* \(#,##0\);_([$$-409]* &quot;-&quot;??_);_(@_)"/>
    <numFmt numFmtId="168" formatCode="0.0000"/>
  </numFmts>
  <fonts count="15"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sz val="12"/>
      <color theme="1"/>
      <name val="Calibri"/>
      <family val="2"/>
      <scheme val="minor"/>
    </font>
    <font>
      <sz val="12"/>
      <color theme="0"/>
      <name val="Calibri"/>
      <family val="2"/>
      <scheme val="minor"/>
    </font>
    <font>
      <b/>
      <i/>
      <sz val="11"/>
      <color rgb="FF000000"/>
      <name val="Calibri"/>
      <family val="2"/>
    </font>
    <font>
      <b/>
      <sz val="12"/>
      <color theme="1"/>
      <name val="Calibri"/>
      <family val="2"/>
      <scheme val="minor"/>
    </font>
    <font>
      <sz val="12"/>
      <color rgb="FF00B050"/>
      <name val="Calibri"/>
      <family val="2"/>
      <scheme val="minor"/>
    </font>
    <font>
      <sz val="12"/>
      <color rgb="FFE26B0A"/>
      <name val="Calibri"/>
      <family val="2"/>
      <scheme val="minor"/>
    </font>
    <font>
      <sz val="12"/>
      <color rgb="FF0070C0"/>
      <name val="Calibri"/>
      <family val="2"/>
      <scheme val="minor"/>
    </font>
    <font>
      <sz val="12"/>
      <color rgb="FFE79C05"/>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rgb="FF132E57"/>
        <bgColor indexed="64"/>
      </patternFill>
    </fill>
    <fill>
      <patternFill patternType="solid">
        <fgColor rgb="FF1E8496"/>
        <bgColor indexed="64"/>
      </patternFill>
    </fill>
    <fill>
      <patternFill patternType="solid">
        <fgColor rgb="FFED942D"/>
        <bgColor indexed="64"/>
      </patternFill>
    </fill>
    <fill>
      <patternFill patternType="solid">
        <fgColor rgb="FFFFFF00"/>
        <bgColor indexed="64"/>
      </patternFill>
    </fill>
  </fills>
  <borders count="13">
    <border>
      <left/>
      <right/>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9" fontId="1" fillId="0" borderId="0" applyFont="0" applyFill="0" applyBorder="0" applyAlignment="0" applyProtection="0"/>
    <xf numFmtId="0" fontId="4"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55">
    <xf numFmtId="0" fontId="0" fillId="0" borderId="0" xfId="0"/>
    <xf numFmtId="10" fontId="0" fillId="0" borderId="0" xfId="0" applyNumberFormat="1"/>
    <xf numFmtId="0" fontId="0" fillId="0" borderId="0" xfId="0" applyFont="1"/>
    <xf numFmtId="1" fontId="3" fillId="3" borderId="0" xfId="1" applyNumberFormat="1" applyFont="1" applyFill="1" applyAlignment="1">
      <alignment horizontal="center" vertical="center"/>
    </xf>
    <xf numFmtId="37" fontId="2" fillId="4" borderId="0" xfId="0" applyNumberFormat="1" applyFont="1" applyFill="1" applyBorder="1" applyAlignment="1">
      <alignment vertical="center"/>
    </xf>
    <xf numFmtId="166" fontId="2" fillId="4" borderId="0" xfId="0" applyNumberFormat="1" applyFont="1" applyFill="1" applyBorder="1" applyAlignment="1">
      <alignment vertical="center"/>
    </xf>
    <xf numFmtId="165" fontId="2" fillId="2" borderId="1" xfId="0" applyNumberFormat="1" applyFont="1" applyFill="1" applyBorder="1" applyAlignment="1">
      <alignment horizontal="center" vertical="center"/>
    </xf>
    <xf numFmtId="164" fontId="2" fillId="4" borderId="0" xfId="0" applyNumberFormat="1" applyFont="1" applyFill="1" applyBorder="1" applyAlignment="1">
      <alignment vertical="center"/>
    </xf>
    <xf numFmtId="165" fontId="2" fillId="2" borderId="1" xfId="0" applyNumberFormat="1" applyFont="1" applyFill="1" applyBorder="1" applyAlignment="1">
      <alignment horizontal="left" vertical="center"/>
    </xf>
    <xf numFmtId="10" fontId="2" fillId="4" borderId="0" xfId="1" applyNumberFormat="1" applyFont="1" applyFill="1" applyBorder="1" applyAlignment="1">
      <alignment vertical="center"/>
    </xf>
    <xf numFmtId="10" fontId="0" fillId="0" borderId="0" xfId="1" applyNumberFormat="1" applyFont="1"/>
    <xf numFmtId="164" fontId="0" fillId="0" borderId="0" xfId="0" applyNumberFormat="1" applyFont="1"/>
    <xf numFmtId="0" fontId="4" fillId="0" borderId="0" xfId="2"/>
    <xf numFmtId="167" fontId="0" fillId="0" borderId="0" xfId="0" applyNumberFormat="1"/>
    <xf numFmtId="37" fontId="0" fillId="0" borderId="0" xfId="0" applyNumberFormat="1"/>
    <xf numFmtId="1" fontId="3" fillId="3" borderId="0" xfId="1" applyNumberFormat="1" applyFont="1" applyFill="1" applyAlignment="1">
      <alignment horizontal="left" vertical="center"/>
    </xf>
    <xf numFmtId="167" fontId="2" fillId="4" borderId="0" xfId="1" applyNumberFormat="1" applyFont="1" applyFill="1" applyBorder="1" applyAlignment="1">
      <alignment vertical="center"/>
    </xf>
    <xf numFmtId="2" fontId="2" fillId="4" borderId="0" xfId="1" applyNumberFormat="1" applyFont="1" applyFill="1" applyBorder="1" applyAlignment="1">
      <alignment vertical="center"/>
    </xf>
    <xf numFmtId="3" fontId="0" fillId="0" borderId="0" xfId="0" applyNumberFormat="1"/>
    <xf numFmtId="39" fontId="0" fillId="0" borderId="0" xfId="0" applyNumberFormat="1"/>
    <xf numFmtId="165" fontId="2" fillId="2" borderId="1" xfId="0" applyNumberFormat="1" applyFont="1" applyFill="1" applyBorder="1" applyAlignment="1">
      <alignment horizontal="center" vertical="center"/>
    </xf>
    <xf numFmtId="0" fontId="0" fillId="0" borderId="0" xfId="0" applyAlignment="1">
      <alignment horizontal="center"/>
    </xf>
    <xf numFmtId="9" fontId="0" fillId="0" borderId="0" xfId="0" applyNumberFormat="1"/>
    <xf numFmtId="9" fontId="2" fillId="4" borderId="0" xfId="1" applyFont="1" applyFill="1" applyBorder="1" applyAlignment="1">
      <alignment vertical="center"/>
    </xf>
    <xf numFmtId="0" fontId="5" fillId="0" borderId="0" xfId="0" applyFont="1"/>
    <xf numFmtId="10" fontId="6" fillId="3" borderId="0" xfId="1" applyNumberFormat="1" applyFont="1" applyFill="1" applyAlignment="1">
      <alignment horizontal="right" vertical="center"/>
    </xf>
    <xf numFmtId="2" fontId="5" fillId="0" borderId="0" xfId="0" applyNumberFormat="1" applyFont="1"/>
    <xf numFmtId="9" fontId="5" fillId="0" borderId="0" xfId="0" applyNumberFormat="1" applyFont="1"/>
    <xf numFmtId="39" fontId="5" fillId="0" borderId="0" xfId="4" applyNumberFormat="1" applyFont="1"/>
    <xf numFmtId="168" fontId="5" fillId="0" borderId="0" xfId="0" applyNumberFormat="1" applyFont="1"/>
    <xf numFmtId="4" fontId="6" fillId="3" borderId="0" xfId="1" applyNumberFormat="1" applyFont="1" applyFill="1" applyAlignment="1">
      <alignment horizontal="right" vertical="center"/>
    </xf>
    <xf numFmtId="4" fontId="5" fillId="0" borderId="0" xfId="4" applyNumberFormat="1" applyFont="1"/>
    <xf numFmtId="4" fontId="5" fillId="0" borderId="0" xfId="1" applyNumberFormat="1" applyFont="1"/>
    <xf numFmtId="2" fontId="2" fillId="4" borderId="4" xfId="1" applyNumberFormat="1" applyFont="1" applyFill="1" applyBorder="1" applyAlignment="1">
      <alignment horizontal="center" vertical="center"/>
    </xf>
    <xf numFmtId="1" fontId="2" fillId="4" borderId="4" xfId="1" applyNumberFormat="1" applyFont="1" applyFill="1" applyBorder="1" applyAlignment="1">
      <alignment horizontal="center" vertical="center"/>
    </xf>
    <xf numFmtId="2" fontId="1" fillId="0" borderId="4" xfId="1" applyNumberFormat="1" applyFont="1" applyFill="1" applyBorder="1" applyAlignment="1">
      <alignment horizontal="center" vertical="center"/>
    </xf>
    <xf numFmtId="10" fontId="3" fillId="3" borderId="0" xfId="1" applyNumberFormat="1" applyFont="1" applyFill="1" applyAlignment="1">
      <alignment horizontal="center" vertical="center"/>
    </xf>
    <xf numFmtId="0" fontId="5" fillId="0" borderId="5" xfId="0" applyFont="1" applyBorder="1" applyAlignment="1">
      <alignment horizontal="left" vertical="center" wrapText="1"/>
    </xf>
    <xf numFmtId="0" fontId="5" fillId="0" borderId="6" xfId="0" applyFont="1" applyBorder="1" applyAlignment="1">
      <alignment horizontal="left" vertical="center" wrapText="1"/>
    </xf>
    <xf numFmtId="0" fontId="5" fillId="0" borderId="7" xfId="0" applyFont="1" applyBorder="1" applyAlignment="1">
      <alignment horizontal="left" vertical="center" wrapText="1"/>
    </xf>
    <xf numFmtId="0" fontId="5" fillId="0" borderId="8" xfId="0" applyFont="1" applyBorder="1" applyAlignment="1">
      <alignment horizontal="left" vertical="center" wrapText="1"/>
    </xf>
    <xf numFmtId="0" fontId="5" fillId="0" borderId="0" xfId="0" applyFont="1" applyBorder="1" applyAlignment="1">
      <alignment horizontal="left"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11" xfId="0" applyFont="1" applyBorder="1" applyAlignment="1">
      <alignment horizontal="left" vertical="center" wrapText="1"/>
    </xf>
    <xf numFmtId="0" fontId="5" fillId="0" borderId="12" xfId="0" applyFont="1" applyBorder="1" applyAlignment="1">
      <alignment horizontal="left" vertical="center" wrapText="1"/>
    </xf>
    <xf numFmtId="166" fontId="2" fillId="4" borderId="0" xfId="0" applyNumberFormat="1" applyFont="1" applyFill="1" applyBorder="1" applyAlignment="1">
      <alignment horizontal="center" vertical="center"/>
    </xf>
    <xf numFmtId="165" fontId="2" fillId="2" borderId="2"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wrapText="1"/>
    </xf>
    <xf numFmtId="165" fontId="2" fillId="2" borderId="3" xfId="0" applyNumberFormat="1" applyFont="1" applyFill="1" applyBorder="1" applyAlignment="1">
      <alignment horizontal="center" vertical="center" wrapText="1"/>
    </xf>
    <xf numFmtId="165" fontId="2" fillId="2" borderId="2" xfId="0" applyNumberFormat="1" applyFont="1" applyFill="1" applyBorder="1" applyAlignment="1">
      <alignment horizontal="center" vertical="center" wrapText="1"/>
    </xf>
    <xf numFmtId="165" fontId="2" fillId="2" borderId="0" xfId="0" applyNumberFormat="1" applyFont="1" applyFill="1" applyBorder="1" applyAlignment="1">
      <alignment horizontal="center" vertical="center" wrapText="1"/>
    </xf>
    <xf numFmtId="9" fontId="5" fillId="0" borderId="0" xfId="0" applyNumberFormat="1" applyFont="1" applyAlignment="1">
      <alignment horizontal="center"/>
    </xf>
    <xf numFmtId="0" fontId="0" fillId="5" borderId="0" xfId="0" applyFill="1" applyAlignment="1">
      <alignment horizontal="center" wrapText="1"/>
    </xf>
  </cellXfs>
  <cellStyles count="5">
    <cellStyle name="Comma" xfId="4" builtinId="3"/>
    <cellStyle name="Hyperlink" xfId="2" builtinId="8"/>
    <cellStyle name="Normal" xfId="0" builtinId="0"/>
    <cellStyle name="Percent" xfId="1" builtinId="5"/>
    <cellStyle name="百分比 2" xfId="3"/>
  </cellStyles>
  <dxfs count="49">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patternType="solid">
          <fgColor theme="0"/>
          <bgColor theme="0"/>
        </patternFill>
      </fill>
    </dxf>
    <dxf>
      <fill>
        <patternFill patternType="solid">
          <fgColor theme="0"/>
          <bgColor theme="0"/>
        </patternFill>
      </fill>
    </dxf>
    <dxf>
      <fill>
        <patternFill>
          <bgColor theme="0"/>
        </patternFill>
      </fill>
    </dxf>
    <dxf>
      <fill>
        <patternFill>
          <bgColor rgb="FFFF0000"/>
        </patternFill>
      </fill>
    </dxf>
    <dxf>
      <fill>
        <patternFill>
          <bgColor rgb="FFFF0000"/>
        </patternFill>
      </fill>
    </dxf>
    <dxf>
      <font>
        <color rgb="FF9C0006"/>
      </font>
    </dxf>
    <dxf>
      <font>
        <color rgb="FF9C0006"/>
      </font>
    </dxf>
    <dxf>
      <font>
        <color rgb="FF9C0006"/>
      </font>
    </dxf>
    <dxf>
      <font>
        <color rgb="FF9C0006"/>
      </font>
    </dxf>
    <dxf>
      <font>
        <color rgb="FF9C0006"/>
      </font>
    </dxf>
    <dxf>
      <font>
        <color rgb="FF9C0006"/>
      </font>
    </dxf>
    <dxf>
      <fill>
        <patternFill patternType="solid">
          <fgColor theme="0"/>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fgColor theme="0"/>
          <bgColor rgb="FF92D050"/>
        </patternFill>
      </fill>
    </dxf>
    <dxf>
      <fill>
        <patternFill>
          <bgColor rgb="FFFF0000"/>
        </patternFill>
      </fill>
    </dxf>
  </dxfs>
  <tableStyles count="0" defaultTableStyle="TableStyleMedium2" defaultPivotStyle="PivotStyleMedium9"/>
  <colors>
    <mruColors>
      <color rgb="FFE79C05"/>
      <color rgb="FFE26B0A"/>
      <color rgb="FFD8A0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'NPV Profile'!$AG$5</c:f>
          <c:strCache>
            <c:ptCount val="1"/>
            <c:pt idx="0">
              <c:v>NPV Profile for ProjectA</c:v>
            </c:pt>
          </c:strCache>
        </c:strRef>
      </c:tx>
      <c:layout>
        <c:manualLayout>
          <c:xMode val="edge"/>
          <c:yMode val="edge"/>
          <c:x val="0.46211778342122767"/>
          <c:y val="2.68141345537494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'NPV Profile'!$F$36:$F$56</c:f>
              <c:numCache>
                <c:formatCode>#,##0.00</c:formatCode>
                <c:ptCount val="21"/>
                <c:pt idx="0">
                  <c:v>-0.3</c:v>
                </c:pt>
                <c:pt idx="1">
                  <c:v>-0.25</c:v>
                </c:pt>
                <c:pt idx="2">
                  <c:v>-0.2</c:v>
                </c:pt>
                <c:pt idx="3">
                  <c:v>-0.15000000000000002</c:v>
                </c:pt>
                <c:pt idx="4">
                  <c:v>-0.10000000000000002</c:v>
                </c:pt>
                <c:pt idx="5">
                  <c:v>-5.0000000000000017E-2</c:v>
                </c:pt>
                <c:pt idx="6">
                  <c:v>-1.3877787807814457E-17</c:v>
                </c:pt>
                <c:pt idx="7">
                  <c:v>4.9999999999999989E-2</c:v>
                </c:pt>
                <c:pt idx="8">
                  <c:v>9.9999999999999992E-2</c:v>
                </c:pt>
                <c:pt idx="9">
                  <c:v>0.15</c:v>
                </c:pt>
                <c:pt idx="10">
                  <c:v>0.2</c:v>
                </c:pt>
                <c:pt idx="11">
                  <c:v>0.25</c:v>
                </c:pt>
                <c:pt idx="12">
                  <c:v>0.3</c:v>
                </c:pt>
                <c:pt idx="13">
                  <c:v>0.35</c:v>
                </c:pt>
                <c:pt idx="14">
                  <c:v>0.39999999999999997</c:v>
                </c:pt>
                <c:pt idx="15">
                  <c:v>0.44999999999999996</c:v>
                </c:pt>
                <c:pt idx="16">
                  <c:v>0.49999999999999994</c:v>
                </c:pt>
                <c:pt idx="17">
                  <c:v>0.54999999999999993</c:v>
                </c:pt>
                <c:pt idx="18">
                  <c:v>0.6</c:v>
                </c:pt>
                <c:pt idx="19">
                  <c:v>0.65</c:v>
                </c:pt>
                <c:pt idx="20">
                  <c:v>0.70000000000000007</c:v>
                </c:pt>
              </c:numCache>
            </c:numRef>
          </c:xVal>
          <c:yVal>
            <c:numRef>
              <c:f>'NPV Profile'!$G$36:$G$56</c:f>
              <c:numCache>
                <c:formatCode>#,##0.00</c:formatCode>
                <c:ptCount val="21"/>
                <c:pt idx="0">
                  <c:v>52094.3654429702</c:v>
                </c:pt>
                <c:pt idx="1">
                  <c:v>37045.267489711929</c:v>
                </c:pt>
                <c:pt idx="2">
                  <c:v>26508.789062499993</c:v>
                </c:pt>
                <c:pt idx="3">
                  <c:v>18937.590193942073</c:v>
                </c:pt>
                <c:pt idx="4">
                  <c:v>13370.759877389963</c:v>
                </c:pt>
                <c:pt idx="5">
                  <c:v>9193.1098069988329</c:v>
                </c:pt>
                <c:pt idx="6">
                  <c:v>6000</c:v>
                </c:pt>
                <c:pt idx="7">
                  <c:v>3518.7743887822544</c:v>
                </c:pt>
                <c:pt idx="8">
                  <c:v>1561.6792196260776</c:v>
                </c:pt>
                <c:pt idx="9">
                  <c:v>-3.1368744642713864</c:v>
                </c:pt>
                <c:pt idx="10">
                  <c:v>-1269.933127572016</c:v>
                </c:pt>
                <c:pt idx="11">
                  <c:v>-2307.1999999999998</c:v>
                </c:pt>
                <c:pt idx="12">
                  <c:v>-3165.4515436595902</c:v>
                </c:pt>
                <c:pt idx="13">
                  <c:v>-3882.4580854834458</c:v>
                </c:pt>
                <c:pt idx="14">
                  <c:v>-4486.8209674540358</c:v>
                </c:pt>
                <c:pt idx="15">
                  <c:v>-5000.453655716703</c:v>
                </c:pt>
                <c:pt idx="16">
                  <c:v>-5440.3292181069964</c:v>
                </c:pt>
                <c:pt idx="17">
                  <c:v>-5819.7279409368439</c:v>
                </c:pt>
                <c:pt idx="18">
                  <c:v>-6149.139404296875</c:v>
                </c:pt>
                <c:pt idx="19">
                  <c:v>-6436.9224553334625</c:v>
                </c:pt>
                <c:pt idx="20">
                  <c:v>-6689.7934087728563</c:v>
                </c:pt>
              </c:numCache>
            </c:numRef>
          </c:yVal>
          <c:smooth val="1"/>
        </c:ser>
        <c:dLbls>
          <c:showLegendKey val="0"/>
          <c:showVal val="0"/>
          <c:showCatName val="0"/>
          <c:showSerName val="0"/>
          <c:showPercent val="0"/>
          <c:showBubbleSize val="0"/>
        </c:dLbls>
        <c:axId val="426651584"/>
        <c:axId val="426651976"/>
      </c:scatterChart>
      <c:valAx>
        <c:axId val="426651584"/>
        <c:scaling>
          <c:orientation val="minMax"/>
        </c:scaling>
        <c:delete val="0"/>
        <c:axPos val="b"/>
        <c:majorGridlines>
          <c:spPr>
            <a:ln w="9525" cap="flat" cmpd="sng" algn="ctr">
              <a:no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51976"/>
        <c:crosses val="autoZero"/>
        <c:crossBetween val="midCat"/>
      </c:valAx>
      <c:valAx>
        <c:axId val="426651976"/>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51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642938</xdr:colOff>
          <xdr:row>2</xdr:row>
          <xdr:rowOff>23813</xdr:rowOff>
        </xdr:from>
        <xdr:to>
          <xdr:col>12</xdr:col>
          <xdr:colOff>471488</xdr:colOff>
          <xdr:row>6</xdr:row>
          <xdr:rowOff>19050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1" u="none" strike="noStrike" baseline="0">
                  <a:solidFill>
                    <a:srgbClr val="000000"/>
                  </a:solidFill>
                  <a:latin typeface="Calibri"/>
                  <a:ea typeface="Calibri"/>
                  <a:cs typeface="Calibri"/>
                </a:rPr>
                <a:t>Find Optimal Set of Projects</a:t>
              </a:r>
            </a:p>
          </xdr:txBody>
        </xdr:sp>
        <xdr:clientData fPrintsWithSheet="0"/>
      </xdr:twoCellAnchor>
    </mc:Choice>
    <mc:Fallback/>
  </mc:AlternateContent>
  <xdr:twoCellAnchor>
    <xdr:from>
      <xdr:col>13</xdr:col>
      <xdr:colOff>595312</xdr:colOff>
      <xdr:row>1</xdr:row>
      <xdr:rowOff>152401</xdr:rowOff>
    </xdr:from>
    <xdr:to>
      <xdr:col>17</xdr:col>
      <xdr:colOff>85725</xdr:colOff>
      <xdr:row>5</xdr:row>
      <xdr:rowOff>171451</xdr:rowOff>
    </xdr:to>
    <xdr:sp macro="" textlink="">
      <xdr:nvSpPr>
        <xdr:cNvPr id="3" name="TextBox 2">
          <a:extLst>
            <a:ext uri="{FF2B5EF4-FFF2-40B4-BE49-F238E27FC236}">
              <a16:creationId xmlns:a16="http://schemas.microsoft.com/office/drawing/2014/main" xmlns="" id="{190143B9-9CF9-4C83-919E-BC194E8CFDEA}"/>
            </a:ext>
          </a:extLst>
        </xdr:cNvPr>
        <xdr:cNvSpPr txBox="1"/>
      </xdr:nvSpPr>
      <xdr:spPr>
        <a:xfrm>
          <a:off x="10339387" y="333376"/>
          <a:ext cx="2081213" cy="74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ONLY the </a:t>
          </a:r>
          <a:r>
            <a:rPr lang="en-US" sz="1100" baseline="0">
              <a:solidFill>
                <a:schemeClr val="accent6">
                  <a:lumMod val="75000"/>
                </a:schemeClr>
              </a:solidFill>
            </a:rPr>
            <a:t>organe </a:t>
          </a:r>
          <a:r>
            <a:rPr lang="en-US" sz="1100" baseline="0"/>
            <a:t>cells.</a:t>
          </a:r>
        </a:p>
      </xdr:txBody>
    </xdr:sp>
    <xdr:clientData/>
  </xdr:twoCellAnchor>
  <xdr:twoCellAnchor editAs="oneCell">
    <xdr:from>
      <xdr:col>0</xdr:col>
      <xdr:colOff>366713</xdr:colOff>
      <xdr:row>38</xdr:row>
      <xdr:rowOff>152399</xdr:rowOff>
    </xdr:from>
    <xdr:to>
      <xdr:col>7</xdr:col>
      <xdr:colOff>519153</xdr:colOff>
      <xdr:row>63</xdr:row>
      <xdr:rowOff>61944</xdr:rowOff>
    </xdr:to>
    <xdr:pic>
      <xdr:nvPicPr>
        <xdr:cNvPr id="2" name="Picture 1"/>
        <xdr:cNvPicPr>
          <a:picLocks noChangeAspect="1"/>
        </xdr:cNvPicPr>
      </xdr:nvPicPr>
      <xdr:blipFill>
        <a:blip xmlns:r="http://schemas.openxmlformats.org/officeDocument/2006/relationships" r:embed="rId1"/>
        <a:stretch>
          <a:fillRect/>
        </a:stretch>
      </xdr:blipFill>
      <xdr:spPr>
        <a:xfrm>
          <a:off x="366713" y="7029449"/>
          <a:ext cx="5486440" cy="44339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245265</xdr:colOff>
      <xdr:row>12</xdr:row>
      <xdr:rowOff>30954</xdr:rowOff>
    </xdr:from>
    <xdr:to>
      <xdr:col>20</xdr:col>
      <xdr:colOff>223837</xdr:colOff>
      <xdr:row>35</xdr:row>
      <xdr:rowOff>166687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528636</xdr:colOff>
      <xdr:row>0</xdr:row>
      <xdr:rowOff>28574</xdr:rowOff>
    </xdr:from>
    <xdr:to>
      <xdr:col>8</xdr:col>
      <xdr:colOff>571499</xdr:colOff>
      <xdr:row>5</xdr:row>
      <xdr:rowOff>4762</xdr:rowOff>
    </xdr:to>
    <xdr:sp macro="" textlink="">
      <xdr:nvSpPr>
        <xdr:cNvPr id="4" name="TextBox 3">
          <a:extLst>
            <a:ext uri="{FF2B5EF4-FFF2-40B4-BE49-F238E27FC236}">
              <a16:creationId xmlns:a16="http://schemas.microsoft.com/office/drawing/2014/main" xmlns="" id="{190143B9-9CF9-4C83-919E-BC194E8CFDEA}"/>
            </a:ext>
          </a:extLst>
        </xdr:cNvPr>
        <xdr:cNvSpPr txBox="1"/>
      </xdr:nvSpPr>
      <xdr:spPr>
        <a:xfrm>
          <a:off x="4510086" y="28574"/>
          <a:ext cx="2628901" cy="8810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Select desired project from the dropdown menu in projects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3" name="TextBox 2">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ONLY the </a:t>
          </a:r>
          <a:r>
            <a:rPr lang="en-US" sz="1100" baseline="0">
              <a:solidFill>
                <a:schemeClr val="accent6">
                  <a:lumMod val="75000"/>
                </a:schemeClr>
              </a:solidFill>
            </a:rPr>
            <a:t>organe </a:t>
          </a:r>
          <a:r>
            <a:rPr lang="en-US" sz="1100" baseline="0"/>
            <a:t>cells.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 the </a:t>
          </a:r>
          <a:r>
            <a:rPr lang="en-US" sz="1100" baseline="0">
              <a:solidFill>
                <a:schemeClr val="accent6">
                  <a:lumMod val="75000"/>
                </a:schemeClr>
              </a:solidFill>
            </a:rPr>
            <a:t>organe </a:t>
          </a:r>
          <a:r>
            <a:rPr lang="en-US" sz="1100" baseline="0"/>
            <a:t>cells.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147637</xdr:colOff>
      <xdr:row>1</xdr:row>
      <xdr:rowOff>9524</xdr:rowOff>
    </xdr:from>
    <xdr:to>
      <xdr:col>11</xdr:col>
      <xdr:colOff>433386</xdr:colOff>
      <xdr:row>5</xdr:row>
      <xdr:rowOff>9525</xdr:rowOff>
    </xdr:to>
    <xdr:sp macro="" textlink="">
      <xdr:nvSpPr>
        <xdr:cNvPr id="2" name="TextBox 1">
          <a:extLst>
            <a:ext uri="{FF2B5EF4-FFF2-40B4-BE49-F238E27FC236}">
              <a16:creationId xmlns:a16="http://schemas.microsoft.com/office/drawing/2014/main" xmlns="" id="{190143B9-9CF9-4C83-919E-BC194E8CFDEA}"/>
            </a:ext>
          </a:extLst>
        </xdr:cNvPr>
        <xdr:cNvSpPr txBox="1"/>
      </xdr:nvSpPr>
      <xdr:spPr>
        <a:xfrm>
          <a:off x="6376987" y="190499"/>
          <a:ext cx="2243137"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How</a:t>
          </a:r>
          <a:r>
            <a:rPr lang="en-US" sz="1400" b="1" baseline="0"/>
            <a:t> this works:</a:t>
          </a:r>
        </a:p>
        <a:p>
          <a:endParaRPr lang="en-US" sz="1100" baseline="0"/>
        </a:p>
        <a:p>
          <a:r>
            <a:rPr lang="en-US" sz="1100" baseline="0"/>
            <a:t>- Modify </a:t>
          </a:r>
          <a:r>
            <a:rPr lang="en-US" sz="1100" baseline="0">
              <a:solidFill>
                <a:schemeClr val="dk1"/>
              </a:solidFill>
              <a:effectLst/>
              <a:latin typeface="+mn-lt"/>
              <a:ea typeface="+mn-ea"/>
              <a:cs typeface="+mn-cs"/>
            </a:rPr>
            <a:t>ONLY </a:t>
          </a:r>
          <a:r>
            <a:rPr lang="en-US" sz="1100" baseline="0"/>
            <a:t>the </a:t>
          </a:r>
          <a:r>
            <a:rPr lang="en-US" sz="1100" baseline="0">
              <a:solidFill>
                <a:schemeClr val="accent6">
                  <a:lumMod val="75000"/>
                </a:schemeClr>
              </a:solidFill>
            </a:rPr>
            <a:t>organe </a:t>
          </a:r>
          <a:r>
            <a:rPr lang="en-US" sz="1100" baseline="0"/>
            <a:t>cells.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40"/>
  <sheetViews>
    <sheetView showGridLines="0" topLeftCell="A10" zoomScaleNormal="100" workbookViewId="0">
      <selection activeCell="S13" sqref="S13"/>
    </sheetView>
  </sheetViews>
  <sheetFormatPr defaultRowHeight="14.25" x14ac:dyDescent="0.45"/>
  <sheetData>
    <row r="1" spans="2:16" ht="14.65" thickBot="1" x14ac:dyDescent="0.5"/>
    <row r="2" spans="2:16" ht="14.25" customHeight="1" x14ac:dyDescent="0.45">
      <c r="B2" s="37" t="s">
        <v>62</v>
      </c>
      <c r="C2" s="38"/>
      <c r="D2" s="38"/>
      <c r="E2" s="38"/>
      <c r="F2" s="38"/>
      <c r="G2" s="38"/>
      <c r="H2" s="38"/>
      <c r="I2" s="38"/>
      <c r="J2" s="38"/>
      <c r="K2" s="38"/>
      <c r="L2" s="38"/>
      <c r="M2" s="38"/>
      <c r="N2" s="38"/>
      <c r="O2" s="38"/>
      <c r="P2" s="39"/>
    </row>
    <row r="3" spans="2:16" ht="14.25" customHeight="1" x14ac:dyDescent="0.45">
      <c r="B3" s="40"/>
      <c r="C3" s="41"/>
      <c r="D3" s="41"/>
      <c r="E3" s="41"/>
      <c r="F3" s="41"/>
      <c r="G3" s="41"/>
      <c r="H3" s="41"/>
      <c r="I3" s="41"/>
      <c r="J3" s="41"/>
      <c r="K3" s="41"/>
      <c r="L3" s="41"/>
      <c r="M3" s="41"/>
      <c r="N3" s="41"/>
      <c r="O3" s="41"/>
      <c r="P3" s="42"/>
    </row>
    <row r="4" spans="2:16" ht="14.25" customHeight="1" x14ac:dyDescent="0.45">
      <c r="B4" s="40"/>
      <c r="C4" s="41"/>
      <c r="D4" s="41"/>
      <c r="E4" s="41"/>
      <c r="F4" s="41"/>
      <c r="G4" s="41"/>
      <c r="H4" s="41"/>
      <c r="I4" s="41"/>
      <c r="J4" s="41"/>
      <c r="K4" s="41"/>
      <c r="L4" s="41"/>
      <c r="M4" s="41"/>
      <c r="N4" s="41"/>
      <c r="O4" s="41"/>
      <c r="P4" s="42"/>
    </row>
    <row r="5" spans="2:16" ht="14.25" customHeight="1" x14ac:dyDescent="0.45">
      <c r="B5" s="40"/>
      <c r="C5" s="41"/>
      <c r="D5" s="41"/>
      <c r="E5" s="41"/>
      <c r="F5" s="41"/>
      <c r="G5" s="41"/>
      <c r="H5" s="41"/>
      <c r="I5" s="41"/>
      <c r="J5" s="41"/>
      <c r="K5" s="41"/>
      <c r="L5" s="41"/>
      <c r="M5" s="41"/>
      <c r="N5" s="41"/>
      <c r="O5" s="41"/>
      <c r="P5" s="42"/>
    </row>
    <row r="6" spans="2:16" ht="14.25" customHeight="1" x14ac:dyDescent="0.45">
      <c r="B6" s="40"/>
      <c r="C6" s="41"/>
      <c r="D6" s="41"/>
      <c r="E6" s="41"/>
      <c r="F6" s="41"/>
      <c r="G6" s="41"/>
      <c r="H6" s="41"/>
      <c r="I6" s="41"/>
      <c r="J6" s="41"/>
      <c r="K6" s="41"/>
      <c r="L6" s="41"/>
      <c r="M6" s="41"/>
      <c r="N6" s="41"/>
      <c r="O6" s="41"/>
      <c r="P6" s="42"/>
    </row>
    <row r="7" spans="2:16" ht="14.25" customHeight="1" x14ac:dyDescent="0.45">
      <c r="B7" s="40"/>
      <c r="C7" s="41"/>
      <c r="D7" s="41"/>
      <c r="E7" s="41"/>
      <c r="F7" s="41"/>
      <c r="G7" s="41"/>
      <c r="H7" s="41"/>
      <c r="I7" s="41"/>
      <c r="J7" s="41"/>
      <c r="K7" s="41"/>
      <c r="L7" s="41"/>
      <c r="M7" s="41"/>
      <c r="N7" s="41"/>
      <c r="O7" s="41"/>
      <c r="P7" s="42"/>
    </row>
    <row r="8" spans="2:16" ht="14.25" customHeight="1" x14ac:dyDescent="0.45">
      <c r="B8" s="40"/>
      <c r="C8" s="41"/>
      <c r="D8" s="41"/>
      <c r="E8" s="41"/>
      <c r="F8" s="41"/>
      <c r="G8" s="41"/>
      <c r="H8" s="41"/>
      <c r="I8" s="41"/>
      <c r="J8" s="41"/>
      <c r="K8" s="41"/>
      <c r="L8" s="41"/>
      <c r="M8" s="41"/>
      <c r="N8" s="41"/>
      <c r="O8" s="41"/>
      <c r="P8" s="42"/>
    </row>
    <row r="9" spans="2:16" ht="14.25" customHeight="1" x14ac:dyDescent="0.45">
      <c r="B9" s="40"/>
      <c r="C9" s="41"/>
      <c r="D9" s="41"/>
      <c r="E9" s="41"/>
      <c r="F9" s="41"/>
      <c r="G9" s="41"/>
      <c r="H9" s="41"/>
      <c r="I9" s="41"/>
      <c r="J9" s="41"/>
      <c r="K9" s="41"/>
      <c r="L9" s="41"/>
      <c r="M9" s="41"/>
      <c r="N9" s="41"/>
      <c r="O9" s="41"/>
      <c r="P9" s="42"/>
    </row>
    <row r="10" spans="2:16" ht="14.25" customHeight="1" x14ac:dyDescent="0.45">
      <c r="B10" s="40"/>
      <c r="C10" s="41"/>
      <c r="D10" s="41"/>
      <c r="E10" s="41"/>
      <c r="F10" s="41"/>
      <c r="G10" s="41"/>
      <c r="H10" s="41"/>
      <c r="I10" s="41"/>
      <c r="J10" s="41"/>
      <c r="K10" s="41"/>
      <c r="L10" s="41"/>
      <c r="M10" s="41"/>
      <c r="N10" s="41"/>
      <c r="O10" s="41"/>
      <c r="P10" s="42"/>
    </row>
    <row r="11" spans="2:16" ht="14.25" customHeight="1" x14ac:dyDescent="0.45">
      <c r="B11" s="40"/>
      <c r="C11" s="41"/>
      <c r="D11" s="41"/>
      <c r="E11" s="41"/>
      <c r="F11" s="41"/>
      <c r="G11" s="41"/>
      <c r="H11" s="41"/>
      <c r="I11" s="41"/>
      <c r="J11" s="41"/>
      <c r="K11" s="41"/>
      <c r="L11" s="41"/>
      <c r="M11" s="41"/>
      <c r="N11" s="41"/>
      <c r="O11" s="41"/>
      <c r="P11" s="42"/>
    </row>
    <row r="12" spans="2:16" ht="14.25" customHeight="1" x14ac:dyDescent="0.45">
      <c r="B12" s="40"/>
      <c r="C12" s="41"/>
      <c r="D12" s="41"/>
      <c r="E12" s="41"/>
      <c r="F12" s="41"/>
      <c r="G12" s="41"/>
      <c r="H12" s="41"/>
      <c r="I12" s="41"/>
      <c r="J12" s="41"/>
      <c r="K12" s="41"/>
      <c r="L12" s="41"/>
      <c r="M12" s="41"/>
      <c r="N12" s="41"/>
      <c r="O12" s="41"/>
      <c r="P12" s="42"/>
    </row>
    <row r="13" spans="2:16" ht="14.25" customHeight="1" x14ac:dyDescent="0.45">
      <c r="B13" s="40"/>
      <c r="C13" s="41"/>
      <c r="D13" s="41"/>
      <c r="E13" s="41"/>
      <c r="F13" s="41"/>
      <c r="G13" s="41"/>
      <c r="H13" s="41"/>
      <c r="I13" s="41"/>
      <c r="J13" s="41"/>
      <c r="K13" s="41"/>
      <c r="L13" s="41"/>
      <c r="M13" s="41"/>
      <c r="N13" s="41"/>
      <c r="O13" s="41"/>
      <c r="P13" s="42"/>
    </row>
    <row r="14" spans="2:16" ht="14.25" customHeight="1" x14ac:dyDescent="0.45">
      <c r="B14" s="40"/>
      <c r="C14" s="41"/>
      <c r="D14" s="41"/>
      <c r="E14" s="41"/>
      <c r="F14" s="41"/>
      <c r="G14" s="41"/>
      <c r="H14" s="41"/>
      <c r="I14" s="41"/>
      <c r="J14" s="41"/>
      <c r="K14" s="41"/>
      <c r="L14" s="41"/>
      <c r="M14" s="41"/>
      <c r="N14" s="41"/>
      <c r="O14" s="41"/>
      <c r="P14" s="42"/>
    </row>
    <row r="15" spans="2:16" ht="14.25" customHeight="1" x14ac:dyDescent="0.45">
      <c r="B15" s="40"/>
      <c r="C15" s="41"/>
      <c r="D15" s="41"/>
      <c r="E15" s="41"/>
      <c r="F15" s="41"/>
      <c r="G15" s="41"/>
      <c r="H15" s="41"/>
      <c r="I15" s="41"/>
      <c r="J15" s="41"/>
      <c r="K15" s="41"/>
      <c r="L15" s="41"/>
      <c r="M15" s="41"/>
      <c r="N15" s="41"/>
      <c r="O15" s="41"/>
      <c r="P15" s="42"/>
    </row>
    <row r="16" spans="2:16" ht="14.25" customHeight="1" x14ac:dyDescent="0.45">
      <c r="B16" s="40"/>
      <c r="C16" s="41"/>
      <c r="D16" s="41"/>
      <c r="E16" s="41"/>
      <c r="F16" s="41"/>
      <c r="G16" s="41"/>
      <c r="H16" s="41"/>
      <c r="I16" s="41"/>
      <c r="J16" s="41"/>
      <c r="K16" s="41"/>
      <c r="L16" s="41"/>
      <c r="M16" s="41"/>
      <c r="N16" s="41"/>
      <c r="O16" s="41"/>
      <c r="P16" s="42"/>
    </row>
    <row r="17" spans="2:16" ht="14.25" customHeight="1" x14ac:dyDescent="0.45">
      <c r="B17" s="40"/>
      <c r="C17" s="41"/>
      <c r="D17" s="41"/>
      <c r="E17" s="41"/>
      <c r="F17" s="41"/>
      <c r="G17" s="41"/>
      <c r="H17" s="41"/>
      <c r="I17" s="41"/>
      <c r="J17" s="41"/>
      <c r="K17" s="41"/>
      <c r="L17" s="41"/>
      <c r="M17" s="41"/>
      <c r="N17" s="41"/>
      <c r="O17" s="41"/>
      <c r="P17" s="42"/>
    </row>
    <row r="18" spans="2:16" ht="14.25" customHeight="1" x14ac:dyDescent="0.45">
      <c r="B18" s="40"/>
      <c r="C18" s="41"/>
      <c r="D18" s="41"/>
      <c r="E18" s="41"/>
      <c r="F18" s="41"/>
      <c r="G18" s="41"/>
      <c r="H18" s="41"/>
      <c r="I18" s="41"/>
      <c r="J18" s="41"/>
      <c r="K18" s="41"/>
      <c r="L18" s="41"/>
      <c r="M18" s="41"/>
      <c r="N18" s="41"/>
      <c r="O18" s="41"/>
      <c r="P18" s="42"/>
    </row>
    <row r="19" spans="2:16" ht="14.25" customHeight="1" x14ac:dyDescent="0.45">
      <c r="B19" s="40"/>
      <c r="C19" s="41"/>
      <c r="D19" s="41"/>
      <c r="E19" s="41"/>
      <c r="F19" s="41"/>
      <c r="G19" s="41"/>
      <c r="H19" s="41"/>
      <c r="I19" s="41"/>
      <c r="J19" s="41"/>
      <c r="K19" s="41"/>
      <c r="L19" s="41"/>
      <c r="M19" s="41"/>
      <c r="N19" s="41"/>
      <c r="O19" s="41"/>
      <c r="P19" s="42"/>
    </row>
    <row r="20" spans="2:16" ht="14.25" customHeight="1" x14ac:dyDescent="0.45">
      <c r="B20" s="40"/>
      <c r="C20" s="41"/>
      <c r="D20" s="41"/>
      <c r="E20" s="41"/>
      <c r="F20" s="41"/>
      <c r="G20" s="41"/>
      <c r="H20" s="41"/>
      <c r="I20" s="41"/>
      <c r="J20" s="41"/>
      <c r="K20" s="41"/>
      <c r="L20" s="41"/>
      <c r="M20" s="41"/>
      <c r="N20" s="41"/>
      <c r="O20" s="41"/>
      <c r="P20" s="42"/>
    </row>
    <row r="21" spans="2:16" ht="14.25" customHeight="1" x14ac:dyDescent="0.45">
      <c r="B21" s="40"/>
      <c r="C21" s="41"/>
      <c r="D21" s="41"/>
      <c r="E21" s="41"/>
      <c r="F21" s="41"/>
      <c r="G21" s="41"/>
      <c r="H21" s="41"/>
      <c r="I21" s="41"/>
      <c r="J21" s="41"/>
      <c r="K21" s="41"/>
      <c r="L21" s="41"/>
      <c r="M21" s="41"/>
      <c r="N21" s="41"/>
      <c r="O21" s="41"/>
      <c r="P21" s="42"/>
    </row>
    <row r="22" spans="2:16" ht="14.25" customHeight="1" x14ac:dyDescent="0.45">
      <c r="B22" s="40"/>
      <c r="C22" s="41"/>
      <c r="D22" s="41"/>
      <c r="E22" s="41"/>
      <c r="F22" s="41"/>
      <c r="G22" s="41"/>
      <c r="H22" s="41"/>
      <c r="I22" s="41"/>
      <c r="J22" s="41"/>
      <c r="K22" s="41"/>
      <c r="L22" s="41"/>
      <c r="M22" s="41"/>
      <c r="N22" s="41"/>
      <c r="O22" s="41"/>
      <c r="P22" s="42"/>
    </row>
    <row r="23" spans="2:16" ht="14.25" customHeight="1" x14ac:dyDescent="0.45">
      <c r="B23" s="40"/>
      <c r="C23" s="41"/>
      <c r="D23" s="41"/>
      <c r="E23" s="41"/>
      <c r="F23" s="41"/>
      <c r="G23" s="41"/>
      <c r="H23" s="41"/>
      <c r="I23" s="41"/>
      <c r="J23" s="41"/>
      <c r="K23" s="41"/>
      <c r="L23" s="41"/>
      <c r="M23" s="41"/>
      <c r="N23" s="41"/>
      <c r="O23" s="41"/>
      <c r="P23" s="42"/>
    </row>
    <row r="24" spans="2:16" ht="14.25" customHeight="1" x14ac:dyDescent="0.45">
      <c r="B24" s="40"/>
      <c r="C24" s="41"/>
      <c r="D24" s="41"/>
      <c r="E24" s="41"/>
      <c r="F24" s="41"/>
      <c r="G24" s="41"/>
      <c r="H24" s="41"/>
      <c r="I24" s="41"/>
      <c r="J24" s="41"/>
      <c r="K24" s="41"/>
      <c r="L24" s="41"/>
      <c r="M24" s="41"/>
      <c r="N24" s="41"/>
      <c r="O24" s="41"/>
      <c r="P24" s="42"/>
    </row>
    <row r="25" spans="2:16" ht="14.25" customHeight="1" x14ac:dyDescent="0.45">
      <c r="B25" s="40"/>
      <c r="C25" s="41"/>
      <c r="D25" s="41"/>
      <c r="E25" s="41"/>
      <c r="F25" s="41"/>
      <c r="G25" s="41"/>
      <c r="H25" s="41"/>
      <c r="I25" s="41"/>
      <c r="J25" s="41"/>
      <c r="K25" s="41"/>
      <c r="L25" s="41"/>
      <c r="M25" s="41"/>
      <c r="N25" s="41"/>
      <c r="O25" s="41"/>
      <c r="P25" s="42"/>
    </row>
    <row r="26" spans="2:16" ht="14.25" customHeight="1" x14ac:dyDescent="0.45">
      <c r="B26" s="40"/>
      <c r="C26" s="41"/>
      <c r="D26" s="41"/>
      <c r="E26" s="41"/>
      <c r="F26" s="41"/>
      <c r="G26" s="41"/>
      <c r="H26" s="41"/>
      <c r="I26" s="41"/>
      <c r="J26" s="41"/>
      <c r="K26" s="41"/>
      <c r="L26" s="41"/>
      <c r="M26" s="41"/>
      <c r="N26" s="41"/>
      <c r="O26" s="41"/>
      <c r="P26" s="42"/>
    </row>
    <row r="27" spans="2:16" ht="14.25" customHeight="1" x14ac:dyDescent="0.45">
      <c r="B27" s="40"/>
      <c r="C27" s="41"/>
      <c r="D27" s="41"/>
      <c r="E27" s="41"/>
      <c r="F27" s="41"/>
      <c r="G27" s="41"/>
      <c r="H27" s="41"/>
      <c r="I27" s="41"/>
      <c r="J27" s="41"/>
      <c r="K27" s="41"/>
      <c r="L27" s="41"/>
      <c r="M27" s="41"/>
      <c r="N27" s="41"/>
      <c r="O27" s="41"/>
      <c r="P27" s="42"/>
    </row>
    <row r="28" spans="2:16" ht="14.25" customHeight="1" x14ac:dyDescent="0.45">
      <c r="B28" s="40"/>
      <c r="C28" s="41"/>
      <c r="D28" s="41"/>
      <c r="E28" s="41"/>
      <c r="F28" s="41"/>
      <c r="G28" s="41"/>
      <c r="H28" s="41"/>
      <c r="I28" s="41"/>
      <c r="J28" s="41"/>
      <c r="K28" s="41"/>
      <c r="L28" s="41"/>
      <c r="M28" s="41"/>
      <c r="N28" s="41"/>
      <c r="O28" s="41"/>
      <c r="P28" s="42"/>
    </row>
    <row r="29" spans="2:16" ht="14.25" customHeight="1" x14ac:dyDescent="0.45">
      <c r="B29" s="40"/>
      <c r="C29" s="41"/>
      <c r="D29" s="41"/>
      <c r="E29" s="41"/>
      <c r="F29" s="41"/>
      <c r="G29" s="41"/>
      <c r="H29" s="41"/>
      <c r="I29" s="41"/>
      <c r="J29" s="41"/>
      <c r="K29" s="41"/>
      <c r="L29" s="41"/>
      <c r="M29" s="41"/>
      <c r="N29" s="41"/>
      <c r="O29" s="41"/>
      <c r="P29" s="42"/>
    </row>
    <row r="30" spans="2:16" ht="14.25" customHeight="1" x14ac:dyDescent="0.45">
      <c r="B30" s="40"/>
      <c r="C30" s="41"/>
      <c r="D30" s="41"/>
      <c r="E30" s="41"/>
      <c r="F30" s="41"/>
      <c r="G30" s="41"/>
      <c r="H30" s="41"/>
      <c r="I30" s="41"/>
      <c r="J30" s="41"/>
      <c r="K30" s="41"/>
      <c r="L30" s="41"/>
      <c r="M30" s="41"/>
      <c r="N30" s="41"/>
      <c r="O30" s="41"/>
      <c r="P30" s="42"/>
    </row>
    <row r="31" spans="2:16" ht="14.25" customHeight="1" x14ac:dyDescent="0.45">
      <c r="B31" s="40"/>
      <c r="C31" s="41"/>
      <c r="D31" s="41"/>
      <c r="E31" s="41"/>
      <c r="F31" s="41"/>
      <c r="G31" s="41"/>
      <c r="H31" s="41"/>
      <c r="I31" s="41"/>
      <c r="J31" s="41"/>
      <c r="K31" s="41"/>
      <c r="L31" s="41"/>
      <c r="M31" s="41"/>
      <c r="N31" s="41"/>
      <c r="O31" s="41"/>
      <c r="P31" s="42"/>
    </row>
    <row r="32" spans="2:16" ht="14.25" customHeight="1" x14ac:dyDescent="0.45">
      <c r="B32" s="40"/>
      <c r="C32" s="41"/>
      <c r="D32" s="41"/>
      <c r="E32" s="41"/>
      <c r="F32" s="41"/>
      <c r="G32" s="41"/>
      <c r="H32" s="41"/>
      <c r="I32" s="41"/>
      <c r="J32" s="41"/>
      <c r="K32" s="41"/>
      <c r="L32" s="41"/>
      <c r="M32" s="41"/>
      <c r="N32" s="41"/>
      <c r="O32" s="41"/>
      <c r="P32" s="42"/>
    </row>
    <row r="33" spans="2:16" ht="14.25" customHeight="1" x14ac:dyDescent="0.45">
      <c r="B33" s="40"/>
      <c r="C33" s="41"/>
      <c r="D33" s="41"/>
      <c r="E33" s="41"/>
      <c r="F33" s="41"/>
      <c r="G33" s="41"/>
      <c r="H33" s="41"/>
      <c r="I33" s="41"/>
      <c r="J33" s="41"/>
      <c r="K33" s="41"/>
      <c r="L33" s="41"/>
      <c r="M33" s="41"/>
      <c r="N33" s="41"/>
      <c r="O33" s="41"/>
      <c r="P33" s="42"/>
    </row>
    <row r="34" spans="2:16" ht="14.25" customHeight="1" x14ac:dyDescent="0.45">
      <c r="B34" s="40"/>
      <c r="C34" s="41"/>
      <c r="D34" s="41"/>
      <c r="E34" s="41"/>
      <c r="F34" s="41"/>
      <c r="G34" s="41"/>
      <c r="H34" s="41"/>
      <c r="I34" s="41"/>
      <c r="J34" s="41"/>
      <c r="K34" s="41"/>
      <c r="L34" s="41"/>
      <c r="M34" s="41"/>
      <c r="N34" s="41"/>
      <c r="O34" s="41"/>
      <c r="P34" s="42"/>
    </row>
    <row r="35" spans="2:16" ht="14.25" customHeight="1" x14ac:dyDescent="0.45">
      <c r="B35" s="40"/>
      <c r="C35" s="41"/>
      <c r="D35" s="41"/>
      <c r="E35" s="41"/>
      <c r="F35" s="41"/>
      <c r="G35" s="41"/>
      <c r="H35" s="41"/>
      <c r="I35" s="41"/>
      <c r="J35" s="41"/>
      <c r="K35" s="41"/>
      <c r="L35" s="41"/>
      <c r="M35" s="41"/>
      <c r="N35" s="41"/>
      <c r="O35" s="41"/>
      <c r="P35" s="42"/>
    </row>
    <row r="36" spans="2:16" x14ac:dyDescent="0.45">
      <c r="B36" s="40"/>
      <c r="C36" s="41"/>
      <c r="D36" s="41"/>
      <c r="E36" s="41"/>
      <c r="F36" s="41"/>
      <c r="G36" s="41"/>
      <c r="H36" s="41"/>
      <c r="I36" s="41"/>
      <c r="J36" s="41"/>
      <c r="K36" s="41"/>
      <c r="L36" s="41"/>
      <c r="M36" s="41"/>
      <c r="N36" s="41"/>
      <c r="O36" s="41"/>
      <c r="P36" s="42"/>
    </row>
    <row r="37" spans="2:16" x14ac:dyDescent="0.45">
      <c r="B37" s="40"/>
      <c r="C37" s="41"/>
      <c r="D37" s="41"/>
      <c r="E37" s="41"/>
      <c r="F37" s="41"/>
      <c r="G37" s="41"/>
      <c r="H37" s="41"/>
      <c r="I37" s="41"/>
      <c r="J37" s="41"/>
      <c r="K37" s="41"/>
      <c r="L37" s="41"/>
      <c r="M37" s="41"/>
      <c r="N37" s="41"/>
      <c r="O37" s="41"/>
      <c r="P37" s="42"/>
    </row>
    <row r="38" spans="2:16" x14ac:dyDescent="0.45">
      <c r="B38" s="40"/>
      <c r="C38" s="41"/>
      <c r="D38" s="41"/>
      <c r="E38" s="41"/>
      <c r="F38" s="41"/>
      <c r="G38" s="41"/>
      <c r="H38" s="41"/>
      <c r="I38" s="41"/>
      <c r="J38" s="41"/>
      <c r="K38" s="41"/>
      <c r="L38" s="41"/>
      <c r="M38" s="41"/>
      <c r="N38" s="41"/>
      <c r="O38" s="41"/>
      <c r="P38" s="42"/>
    </row>
    <row r="39" spans="2:16" x14ac:dyDescent="0.45">
      <c r="B39" s="40"/>
      <c r="C39" s="41"/>
      <c r="D39" s="41"/>
      <c r="E39" s="41"/>
      <c r="F39" s="41"/>
      <c r="G39" s="41"/>
      <c r="H39" s="41"/>
      <c r="I39" s="41"/>
      <c r="J39" s="41"/>
      <c r="K39" s="41"/>
      <c r="L39" s="41"/>
      <c r="M39" s="41"/>
      <c r="N39" s="41"/>
      <c r="O39" s="41"/>
      <c r="P39" s="42"/>
    </row>
    <row r="40" spans="2:16" ht="14.65" thickBot="1" x14ac:dyDescent="0.5">
      <c r="B40" s="43"/>
      <c r="C40" s="44"/>
      <c r="D40" s="44"/>
      <c r="E40" s="44"/>
      <c r="F40" s="44"/>
      <c r="G40" s="44"/>
      <c r="H40" s="44"/>
      <c r="I40" s="44"/>
      <c r="J40" s="44"/>
      <c r="K40" s="44"/>
      <c r="L40" s="44"/>
      <c r="M40" s="44"/>
      <c r="N40" s="44"/>
      <c r="O40" s="44"/>
      <c r="P40" s="45"/>
    </row>
  </sheetData>
  <mergeCells count="1">
    <mergeCell ref="B2:P4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24"/>
  <sheetViews>
    <sheetView showGridLines="0" tabSelected="1" workbookViewId="0">
      <selection activeCell="A34" sqref="A34"/>
    </sheetView>
  </sheetViews>
  <sheetFormatPr defaultRowHeight="14.25" x14ac:dyDescent="0.45"/>
  <cols>
    <col min="1" max="1" width="17.3984375" bestFit="1" customWidth="1"/>
    <col min="2" max="2" width="11.9296875" bestFit="1" customWidth="1"/>
    <col min="8" max="8" width="16.06640625" bestFit="1" customWidth="1"/>
    <col min="9" max="9" width="9.3984375" bestFit="1" customWidth="1"/>
    <col min="31" max="31" width="11.796875" bestFit="1" customWidth="1"/>
    <col min="33" max="33" width="15.3984375" bestFit="1" customWidth="1"/>
  </cols>
  <sheetData>
    <row r="1" spans="1:34" x14ac:dyDescent="0.45">
      <c r="A1" s="46" t="s">
        <v>13</v>
      </c>
      <c r="B1" s="46"/>
      <c r="C1" s="46"/>
      <c r="D1" s="46"/>
      <c r="E1" s="46"/>
      <c r="F1" s="46"/>
      <c r="G1" s="46"/>
      <c r="H1" s="46"/>
      <c r="I1" s="46"/>
      <c r="J1" s="46"/>
      <c r="AG1" s="21" t="s">
        <v>52</v>
      </c>
    </row>
    <row r="2" spans="1:34" x14ac:dyDescent="0.45">
      <c r="AG2" s="21"/>
    </row>
    <row r="3" spans="1:34" x14ac:dyDescent="0.45">
      <c r="A3" s="15" t="s">
        <v>11</v>
      </c>
      <c r="B3" s="9">
        <v>0.04</v>
      </c>
      <c r="H3" s="15" t="s">
        <v>14</v>
      </c>
      <c r="I3">
        <f>COUNTIF(A14:A24,"&lt;&gt;")</f>
        <v>11</v>
      </c>
    </row>
    <row r="4" spans="1:34" x14ac:dyDescent="0.45">
      <c r="A4" s="15" t="s">
        <v>12</v>
      </c>
      <c r="B4" s="9">
        <v>7.0000000000000007E-2</v>
      </c>
      <c r="H4" s="15" t="s">
        <v>15</v>
      </c>
      <c r="I4">
        <f>COUNTIF(J14:J24,"Yes")</f>
        <v>6</v>
      </c>
      <c r="AG4" t="s">
        <v>51</v>
      </c>
      <c r="AH4" t="s">
        <v>53</v>
      </c>
    </row>
    <row r="5" spans="1:34" x14ac:dyDescent="0.45">
      <c r="H5" s="15" t="s">
        <v>16</v>
      </c>
      <c r="I5" s="13">
        <f>SUMPRODUCT(B14:B24,AH5:AH15)</f>
        <v>237000</v>
      </c>
      <c r="AF5">
        <f>AG5*AH5</f>
        <v>0</v>
      </c>
      <c r="AG5" s="21">
        <f>IF(H14="X",1,0)</f>
        <v>0</v>
      </c>
      <c r="AH5" s="21">
        <v>1</v>
      </c>
    </row>
    <row r="6" spans="1:34" x14ac:dyDescent="0.45">
      <c r="A6" s="47" t="s">
        <v>37</v>
      </c>
      <c r="B6" s="47"/>
      <c r="D6" s="47" t="s">
        <v>38</v>
      </c>
      <c r="E6" s="47"/>
      <c r="H6" s="15" t="s">
        <v>17</v>
      </c>
      <c r="I6" s="13">
        <f ca="1">SUMPRODUCT(E14:E24,AH5:AH15)</f>
        <v>117217.21590299282</v>
      </c>
      <c r="AF6">
        <f t="shared" ref="AF6:AF15" si="0">AG6*AH6</f>
        <v>0</v>
      </c>
      <c r="AG6" s="21">
        <f t="shared" ref="AG6:AG15" si="1">IF(H15="X",1,0)</f>
        <v>1</v>
      </c>
      <c r="AH6" s="21">
        <v>0</v>
      </c>
    </row>
    <row r="7" spans="1:34" x14ac:dyDescent="0.45">
      <c r="A7" s="15" t="s">
        <v>39</v>
      </c>
      <c r="B7" s="16">
        <v>50000</v>
      </c>
      <c r="D7" s="15" t="s">
        <v>39</v>
      </c>
      <c r="E7" s="17">
        <v>1</v>
      </c>
      <c r="H7" s="15" t="s">
        <v>18</v>
      </c>
      <c r="I7" s="19">
        <f>(SUMPRODUCT(D14:D24,B14:B24,AH5:AH15))/I5</f>
        <v>1.0746835443037974</v>
      </c>
      <c r="AF7">
        <f t="shared" si="0"/>
        <v>0</v>
      </c>
      <c r="AG7" s="21">
        <f t="shared" si="1"/>
        <v>0</v>
      </c>
      <c r="AH7" s="21">
        <v>1</v>
      </c>
    </row>
    <row r="8" spans="1:34" x14ac:dyDescent="0.45">
      <c r="A8" s="15" t="s">
        <v>40</v>
      </c>
      <c r="B8" s="16">
        <v>250000</v>
      </c>
      <c r="D8" s="15" t="s">
        <v>40</v>
      </c>
      <c r="E8" s="17">
        <v>1.2</v>
      </c>
      <c r="AF8">
        <f t="shared" si="0"/>
        <v>0</v>
      </c>
      <c r="AG8" s="21">
        <f t="shared" si="1"/>
        <v>1</v>
      </c>
      <c r="AH8" s="21">
        <v>0</v>
      </c>
    </row>
    <row r="9" spans="1:34" x14ac:dyDescent="0.45">
      <c r="K9" s="12" t="s">
        <v>61</v>
      </c>
      <c r="AF9">
        <f t="shared" si="0"/>
        <v>0</v>
      </c>
      <c r="AG9" s="21">
        <f t="shared" si="1"/>
        <v>0</v>
      </c>
      <c r="AH9" s="21">
        <v>0</v>
      </c>
    </row>
    <row r="10" spans="1:34" x14ac:dyDescent="0.45">
      <c r="AF10">
        <f t="shared" si="0"/>
        <v>1</v>
      </c>
      <c r="AG10" s="21">
        <f t="shared" si="1"/>
        <v>1</v>
      </c>
      <c r="AH10" s="21">
        <v>1</v>
      </c>
    </row>
    <row r="11" spans="1:34" x14ac:dyDescent="0.45">
      <c r="AF11">
        <f t="shared" si="0"/>
        <v>0</v>
      </c>
      <c r="AG11" s="21">
        <f t="shared" si="1"/>
        <v>0</v>
      </c>
      <c r="AH11" s="21">
        <v>0</v>
      </c>
    </row>
    <row r="12" spans="1:34" ht="14.25" customHeight="1" x14ac:dyDescent="0.45">
      <c r="A12" s="47" t="s">
        <v>34</v>
      </c>
      <c r="B12" s="47"/>
      <c r="C12" s="47"/>
      <c r="D12" s="47"/>
      <c r="E12" s="47"/>
      <c r="F12" s="48"/>
      <c r="H12" s="49" t="s">
        <v>35</v>
      </c>
      <c r="J12" s="49" t="s">
        <v>36</v>
      </c>
      <c r="AF12">
        <f t="shared" si="0"/>
        <v>0</v>
      </c>
      <c r="AG12" s="21">
        <f t="shared" si="1"/>
        <v>0</v>
      </c>
      <c r="AH12" s="21">
        <v>1</v>
      </c>
    </row>
    <row r="13" spans="1:34" x14ac:dyDescent="0.45">
      <c r="A13" s="6" t="s">
        <v>30</v>
      </c>
      <c r="B13" s="6" t="s">
        <v>31</v>
      </c>
      <c r="C13" s="6" t="s">
        <v>1</v>
      </c>
      <c r="D13" s="6" t="s">
        <v>2</v>
      </c>
      <c r="E13" s="6" t="s">
        <v>32</v>
      </c>
      <c r="F13" s="6" t="s">
        <v>33</v>
      </c>
      <c r="H13" s="50"/>
      <c r="J13" s="50"/>
      <c r="AF13">
        <f t="shared" si="0"/>
        <v>0</v>
      </c>
      <c r="AG13" s="21">
        <f t="shared" si="1"/>
        <v>0</v>
      </c>
      <c r="AH13" s="21">
        <v>1</v>
      </c>
    </row>
    <row r="14" spans="1:34" x14ac:dyDescent="0.45">
      <c r="A14" s="12" t="s">
        <v>19</v>
      </c>
      <c r="B14" s="13">
        <f>-ProjectA!$B$8</f>
        <v>10000</v>
      </c>
      <c r="C14" s="14">
        <f>ProjectA!$B$4</f>
        <v>5</v>
      </c>
      <c r="D14">
        <f>ProjectA!$B$5</f>
        <v>0.5</v>
      </c>
      <c r="E14" s="18">
        <f ca="1">ProjectA!$F$5</f>
        <v>2484.0073301096054</v>
      </c>
      <c r="F14" s="1">
        <f>ProjectA!$F$6</f>
        <v>0.14988819942633702</v>
      </c>
      <c r="H14" s="33"/>
      <c r="J14" s="35" t="str">
        <f>IF(AH5=0,"No","Yes")</f>
        <v>Yes</v>
      </c>
      <c r="AF14">
        <f t="shared" si="0"/>
        <v>0</v>
      </c>
      <c r="AG14" s="21">
        <f t="shared" si="1"/>
        <v>0</v>
      </c>
      <c r="AH14" s="21">
        <v>1</v>
      </c>
    </row>
    <row r="15" spans="1:34" x14ac:dyDescent="0.45">
      <c r="A15" s="12" t="s">
        <v>20</v>
      </c>
      <c r="B15" s="13">
        <f>-ProjectB!$B$8</f>
        <v>10000</v>
      </c>
      <c r="C15" s="14">
        <f>ProjectB!$B$4</f>
        <v>6</v>
      </c>
      <c r="D15">
        <f>ProjectB!$B$5</f>
        <v>0.8</v>
      </c>
      <c r="E15" s="18">
        <f ca="1">ProjectB!$F$5</f>
        <v>4415.2717293983951</v>
      </c>
      <c r="F15" s="1">
        <f>ProjectB!$F$6</f>
        <v>0.30590772933683308</v>
      </c>
      <c r="H15" s="33" t="s">
        <v>52</v>
      </c>
      <c r="J15" s="35" t="str">
        <f t="shared" ref="J15:J24" si="2">IF(AH6=0,"No","Yes")</f>
        <v>No</v>
      </c>
      <c r="AF15">
        <f t="shared" si="0"/>
        <v>0</v>
      </c>
      <c r="AG15" s="21">
        <f t="shared" si="1"/>
        <v>0</v>
      </c>
      <c r="AH15" s="21">
        <v>0</v>
      </c>
    </row>
    <row r="16" spans="1:34" x14ac:dyDescent="0.45">
      <c r="A16" s="12" t="s">
        <v>21</v>
      </c>
      <c r="B16" s="13">
        <f>-ProjectC!$B$8</f>
        <v>30000</v>
      </c>
      <c r="C16" s="14">
        <f>ProjectC!$B$4</f>
        <v>10</v>
      </c>
      <c r="D16">
        <f>ProjectC!$B$5</f>
        <v>0.4</v>
      </c>
      <c r="E16" s="18">
        <f ca="1">ProjectC!$F$5</f>
        <v>2499.5044362277549</v>
      </c>
      <c r="F16" s="1">
        <f>ProjectC!$F$6</f>
        <v>8.3561415554842977E-2</v>
      </c>
      <c r="H16" s="33"/>
      <c r="J16" s="35" t="str">
        <f t="shared" si="2"/>
        <v>Yes</v>
      </c>
      <c r="AE16" s="33" t="s">
        <v>59</v>
      </c>
      <c r="AF16">
        <f>SUM(AF5:AF15)</f>
        <v>1</v>
      </c>
      <c r="AG16" s="34">
        <f>SUMPRODUCT(AG5:AG15,AH5:AH15)</f>
        <v>1</v>
      </c>
    </row>
    <row r="17" spans="1:32" x14ac:dyDescent="0.45">
      <c r="A17" s="12" t="s">
        <v>22</v>
      </c>
      <c r="B17" s="13">
        <f>-ProjectD!$B$8</f>
        <v>80000</v>
      </c>
      <c r="C17" s="14">
        <f>ProjectD!$B$4</f>
        <v>15</v>
      </c>
      <c r="D17">
        <f>ProjectD!$B$5</f>
        <v>0.8</v>
      </c>
      <c r="E17" s="18">
        <f ca="1">ProjectD!$F$5</f>
        <v>38066.792386503192</v>
      </c>
      <c r="F17" s="1">
        <f>ProjectD!$F$6</f>
        <v>0.18428146286483393</v>
      </c>
      <c r="H17" s="33" t="s">
        <v>52</v>
      </c>
      <c r="J17" s="35" t="str">
        <f t="shared" si="2"/>
        <v>No</v>
      </c>
      <c r="AE17" t="s">
        <v>60</v>
      </c>
      <c r="AF17">
        <v>1</v>
      </c>
    </row>
    <row r="18" spans="1:32" x14ac:dyDescent="0.45">
      <c r="A18" s="12" t="s">
        <v>23</v>
      </c>
      <c r="B18" s="13">
        <f>-ProjectE!$B$8</f>
        <v>30000</v>
      </c>
      <c r="C18" s="14">
        <f>ProjectE!$B$4</f>
        <v>12</v>
      </c>
      <c r="D18">
        <f>ProjectE!$B$5</f>
        <v>1.1000000000000001</v>
      </c>
      <c r="E18" s="18">
        <f ca="1">ProjectE!$F$5</f>
        <v>-13805.3796124951</v>
      </c>
      <c r="F18" s="1">
        <f>ProjectE!$F$6</f>
        <v>-5.6999004457590763E-3</v>
      </c>
      <c r="H18" s="33"/>
      <c r="J18" s="35" t="str">
        <f t="shared" si="2"/>
        <v>No</v>
      </c>
    </row>
    <row r="19" spans="1:32" x14ac:dyDescent="0.45">
      <c r="A19" s="12" t="s">
        <v>24</v>
      </c>
      <c r="B19" s="13">
        <f>-ProjectF!$B$8</f>
        <v>32000</v>
      </c>
      <c r="C19" s="14">
        <f>ProjectF!$B$4</f>
        <v>7</v>
      </c>
      <c r="D19">
        <f>ProjectF!$B$5</f>
        <v>2.1</v>
      </c>
      <c r="E19" s="18">
        <f ca="1">ProjectF!$F$5</f>
        <v>10386.010194408373</v>
      </c>
      <c r="F19" s="1">
        <f>ProjectF!$F$6</f>
        <v>0.28674945434800159</v>
      </c>
      <c r="H19" s="33" t="s">
        <v>52</v>
      </c>
      <c r="J19" s="35" t="str">
        <f t="shared" si="2"/>
        <v>Yes</v>
      </c>
    </row>
    <row r="20" spans="1:32" x14ac:dyDescent="0.45">
      <c r="A20" s="12" t="s">
        <v>25</v>
      </c>
      <c r="B20" s="13">
        <f>-ProjectG!$B$8</f>
        <v>40000</v>
      </c>
      <c r="C20" s="14">
        <f>ProjectG!$B$4</f>
        <v>12</v>
      </c>
      <c r="D20">
        <f>ProjectG!$B$5</f>
        <v>0.9</v>
      </c>
      <c r="E20" s="18">
        <f ca="1">ProjectG!$F$5</f>
        <v>-4029.0093362726257</v>
      </c>
      <c r="F20" s="1">
        <f>ProjectG!$F$6</f>
        <v>8.2725205275072211E-2</v>
      </c>
      <c r="H20" s="33"/>
      <c r="J20" s="35" t="str">
        <f t="shared" si="2"/>
        <v>No</v>
      </c>
    </row>
    <row r="21" spans="1:32" x14ac:dyDescent="0.45">
      <c r="A21" s="12" t="s">
        <v>26</v>
      </c>
      <c r="B21" s="13">
        <f>-ProjectH!$B$8</f>
        <v>65000</v>
      </c>
      <c r="C21" s="14">
        <f>ProjectH!$B$4</f>
        <v>13</v>
      </c>
      <c r="D21">
        <f>ProjectH!$B$5</f>
        <v>0.1</v>
      </c>
      <c r="E21" s="18">
        <f ca="1">ProjectH!$F$5</f>
        <v>78483.410638966772</v>
      </c>
      <c r="F21" s="1">
        <f>ProjectH!$F$6</f>
        <v>0.21177113562717276</v>
      </c>
      <c r="H21" s="33"/>
      <c r="J21" s="35" t="str">
        <f t="shared" si="2"/>
        <v>Yes</v>
      </c>
    </row>
    <row r="22" spans="1:32" x14ac:dyDescent="0.45">
      <c r="A22" s="12" t="s">
        <v>27</v>
      </c>
      <c r="B22" s="13">
        <f>-ProjectI!$B$8</f>
        <v>70000</v>
      </c>
      <c r="C22" s="14">
        <f>ProjectI!$B$4</f>
        <v>15</v>
      </c>
      <c r="D22">
        <f>ProjectI!$B$5</f>
        <v>1.7</v>
      </c>
      <c r="E22" s="18">
        <f ca="1">ProjectI!$F$5</f>
        <v>-1740.9457646437513</v>
      </c>
      <c r="F22" s="1">
        <f>ProjectI!$F$6</f>
        <v>0.15442677406215499</v>
      </c>
      <c r="H22" s="33"/>
      <c r="J22" s="35" t="str">
        <f t="shared" si="2"/>
        <v>Yes</v>
      </c>
    </row>
    <row r="23" spans="1:32" x14ac:dyDescent="0.45">
      <c r="A23" s="12" t="s">
        <v>28</v>
      </c>
      <c r="B23" s="13">
        <f>-ProjectJ!$B$8</f>
        <v>30000</v>
      </c>
      <c r="C23" s="14">
        <f>ProjectJ!$B$4</f>
        <v>14</v>
      </c>
      <c r="D23">
        <f>ProjectJ!$B$5</f>
        <v>1.5</v>
      </c>
      <c r="E23" s="18">
        <f ca="1">ProjectJ!$F$5</f>
        <v>25105.229067924061</v>
      </c>
      <c r="F23" s="1">
        <f>ProjectJ!$F$6</f>
        <v>0.30717650090435833</v>
      </c>
      <c r="H23" s="33"/>
      <c r="J23" s="35" t="str">
        <f t="shared" si="2"/>
        <v>Yes</v>
      </c>
    </row>
    <row r="24" spans="1:32" x14ac:dyDescent="0.45">
      <c r="A24" s="12" t="s">
        <v>29</v>
      </c>
      <c r="B24" s="13">
        <f>-ProjectK!$B$8</f>
        <v>55000</v>
      </c>
      <c r="C24" s="14">
        <f>ProjectK!$B$4</f>
        <v>20</v>
      </c>
      <c r="D24">
        <f>ProjectK!$B$5</f>
        <v>0.6</v>
      </c>
      <c r="E24" s="18">
        <f ca="1">ProjectK!$F$5</f>
        <v>22389.813523163903</v>
      </c>
      <c r="F24" s="1">
        <f>ProjectK!$F$6</f>
        <v>0.13361222246151949</v>
      </c>
      <c r="H24" s="33"/>
      <c r="J24" s="35" t="str">
        <f t="shared" si="2"/>
        <v>No</v>
      </c>
    </row>
  </sheetData>
  <mergeCells count="6">
    <mergeCell ref="A1:J1"/>
    <mergeCell ref="A12:F12"/>
    <mergeCell ref="H12:H13"/>
    <mergeCell ref="J12:J13"/>
    <mergeCell ref="A6:B6"/>
    <mergeCell ref="D6:E6"/>
  </mergeCells>
  <conditionalFormatting sqref="E14:E24">
    <cfRule type="cellIs" dxfId="48" priority="9" operator="lessThan">
      <formula>0</formula>
    </cfRule>
  </conditionalFormatting>
  <conditionalFormatting sqref="J14:J24">
    <cfRule type="containsText" dxfId="47" priority="5" operator="containsText" text="Yes">
      <formula>NOT(ISERROR(SEARCH("Yes",J14)))</formula>
    </cfRule>
  </conditionalFormatting>
  <conditionalFormatting sqref="E8">
    <cfRule type="expression" dxfId="46" priority="4">
      <formula>$E$8&lt;$E$7</formula>
    </cfRule>
  </conditionalFormatting>
  <conditionalFormatting sqref="E7">
    <cfRule type="expression" dxfId="45" priority="3">
      <formula>$E$7&gt;$E$8</formula>
    </cfRule>
  </conditionalFormatting>
  <conditionalFormatting sqref="B7">
    <cfRule type="expression" dxfId="44" priority="2">
      <formula>$B$7&gt;$B$8</formula>
    </cfRule>
  </conditionalFormatting>
  <conditionalFormatting sqref="B8">
    <cfRule type="expression" dxfId="43" priority="1">
      <formula>$B$8&lt;$B$7</formula>
    </cfRule>
  </conditionalFormatting>
  <dataValidations count="1">
    <dataValidation type="list" allowBlank="1" showInputMessage="1" showErrorMessage="1" sqref="H14 H15:H24">
      <formula1>$AG$1:$AG$2</formula1>
    </dataValidation>
  </dataValidations>
  <hyperlinks>
    <hyperlink ref="A14" location="ProjectA!A1" display="ProjectA"/>
    <hyperlink ref="A15" location="ProjectB!A1" display="ProjectB"/>
    <hyperlink ref="A16" location="ProjectC!A1" display="ProjectC"/>
    <hyperlink ref="A17" location="ProjectD!A1" display="ProjectD"/>
    <hyperlink ref="A18" location="ProjectE!A1" display="ProjectE"/>
    <hyperlink ref="A19" location="ProjectF!A1" display="ProjectF"/>
    <hyperlink ref="A20" location="ProjectG!A1" display="ProjectG"/>
    <hyperlink ref="A21" location="ProjectH!A1" display="ProjectH"/>
    <hyperlink ref="A22" location="ProjectI!A1" display="ProjectI"/>
    <hyperlink ref="A23" location="ProjectJ!A1" display="ProjectJ"/>
    <hyperlink ref="A24" location="ProjectK!A1" display="ProjectK"/>
    <hyperlink ref="K9" location="'NPV Profile'!A1" display="NPV Profil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3">
                <anchor moveWithCells="1" sizeWithCells="1">
                  <from>
                    <xdr:col>9</xdr:col>
                    <xdr:colOff>642938</xdr:colOff>
                    <xdr:row>2</xdr:row>
                    <xdr:rowOff>23813</xdr:rowOff>
                  </from>
                  <to>
                    <xdr:col>12</xdr:col>
                    <xdr:colOff>471488</xdr:colOff>
                    <xdr:row>6</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56"/>
  <sheetViews>
    <sheetView showGridLines="0" topLeftCell="A4" workbookViewId="0">
      <selection activeCell="E18" sqref="E18"/>
    </sheetView>
  </sheetViews>
  <sheetFormatPr defaultRowHeight="14.25" x14ac:dyDescent="0.45"/>
  <cols>
    <col min="1" max="1" width="8.1328125" bestFit="1" customWidth="1"/>
    <col min="2" max="2" width="11.53125" bestFit="1" customWidth="1"/>
    <col min="3" max="3" width="4.86328125" bestFit="1" customWidth="1"/>
    <col min="5" max="5" width="13.86328125" bestFit="1" customWidth="1"/>
    <col min="6" max="6" width="8.265625" bestFit="1" customWidth="1"/>
    <col min="7" max="7" width="22.46484375" customWidth="1"/>
    <col min="8" max="8" width="13.73046875" bestFit="1" customWidth="1"/>
  </cols>
  <sheetData>
    <row r="1" spans="1:33" ht="14.25" customHeight="1" x14ac:dyDescent="0.45">
      <c r="A1" s="12" t="s">
        <v>0</v>
      </c>
      <c r="E1" s="51" t="s">
        <v>54</v>
      </c>
      <c r="F1" s="49"/>
    </row>
    <row r="2" spans="1:33" x14ac:dyDescent="0.45">
      <c r="A2" s="3" t="s">
        <v>30</v>
      </c>
      <c r="B2" s="4" t="s">
        <v>19</v>
      </c>
      <c r="E2" s="52"/>
      <c r="F2" s="50"/>
    </row>
    <row r="3" spans="1:33" x14ac:dyDescent="0.45">
      <c r="E3" s="3" t="s">
        <v>39</v>
      </c>
      <c r="F3" s="23">
        <v>-0.3</v>
      </c>
    </row>
    <row r="4" spans="1:33" x14ac:dyDescent="0.45">
      <c r="E4" s="3" t="s">
        <v>40</v>
      </c>
      <c r="F4" s="23">
        <v>0.7</v>
      </c>
    </row>
    <row r="5" spans="1:33" x14ac:dyDescent="0.45">
      <c r="A5" s="3" t="s">
        <v>1</v>
      </c>
      <c r="B5" s="4">
        <f ca="1">INDIRECT(B2&amp;"!B4")</f>
        <v>5</v>
      </c>
      <c r="C5" t="s">
        <v>5</v>
      </c>
      <c r="AE5" t="s">
        <v>58</v>
      </c>
      <c r="AG5" t="str">
        <f>CONCATENATE(AE5,B2)</f>
        <v>NPV Profile for ProjectA</v>
      </c>
    </row>
    <row r="7" spans="1:33" x14ac:dyDescent="0.45">
      <c r="A7" s="20" t="s">
        <v>3</v>
      </c>
      <c r="B7" s="20" t="s">
        <v>4</v>
      </c>
    </row>
    <row r="8" spans="1:33" x14ac:dyDescent="0.45">
      <c r="A8" s="3">
        <v>0</v>
      </c>
      <c r="B8" s="7">
        <f ca="1">INDIRECT(B2&amp;"!B8")</f>
        <v>-10000</v>
      </c>
    </row>
    <row r="9" spans="1:33" ht="15.75" x14ac:dyDescent="0.5">
      <c r="A9" s="3">
        <v>1</v>
      </c>
      <c r="B9" s="7">
        <f ca="1">INDIRECT(B2&amp;"!B9")</f>
        <v>2000</v>
      </c>
      <c r="F9" s="53" t="s">
        <v>56</v>
      </c>
      <c r="G9" s="53"/>
      <c r="H9" s="54" t="s">
        <v>57</v>
      </c>
      <c r="I9" s="54"/>
      <c r="J9" s="54"/>
      <c r="K9" s="54"/>
    </row>
    <row r="10" spans="1:33" ht="15.75" x14ac:dyDescent="0.5">
      <c r="A10" s="3">
        <v>2</v>
      </c>
      <c r="B10" s="7">
        <f ca="1">INDIRECT(B2&amp;"!B10")</f>
        <v>2000</v>
      </c>
      <c r="E10" s="25" t="s">
        <v>32</v>
      </c>
      <c r="F10" s="25" t="s">
        <v>32</v>
      </c>
      <c r="G10" s="28">
        <f ca="1">B8+NPV(F3,OFFSET(B9:B29,0,0, $B$5, 1))</f>
        <v>52094.3654429702</v>
      </c>
      <c r="H10" s="54"/>
      <c r="I10" s="54"/>
      <c r="J10" s="54"/>
      <c r="K10" s="54"/>
      <c r="L10" s="27"/>
    </row>
    <row r="11" spans="1:33" ht="15.75" x14ac:dyDescent="0.5">
      <c r="A11" s="3">
        <v>3</v>
      </c>
      <c r="B11" s="7">
        <f ca="1">INDIRECT(B2&amp;"!B11")</f>
        <v>3000</v>
      </c>
      <c r="E11" s="27">
        <f>F3</f>
        <v>-0.3</v>
      </c>
      <c r="F11" s="32">
        <f>E11</f>
        <v>-0.3</v>
      </c>
      <c r="G11" s="28">
        <f t="dataTable" ref="G11:G31" dt2D="0" dtr="0" r1="F3" ca="1"/>
        <v>52094.3654429702</v>
      </c>
      <c r="I11" s="22"/>
      <c r="L11" s="27"/>
    </row>
    <row r="12" spans="1:33" ht="15.75" x14ac:dyDescent="0.5">
      <c r="A12" s="3">
        <v>4</v>
      </c>
      <c r="B12" s="7">
        <f ca="1">INDIRECT(B2&amp;"!B12")</f>
        <v>4000</v>
      </c>
      <c r="E12" s="27">
        <f>E11+0.05</f>
        <v>-0.25</v>
      </c>
      <c r="F12" s="32">
        <f t="shared" ref="F12:F31" si="0">E12</f>
        <v>-0.25</v>
      </c>
      <c r="G12" s="28">
        <v>37045.267489711929</v>
      </c>
      <c r="H12" s="31"/>
      <c r="I12" s="22"/>
      <c r="L12" s="27"/>
    </row>
    <row r="13" spans="1:33" ht="15.75" x14ac:dyDescent="0.5">
      <c r="A13" s="3">
        <v>5</v>
      </c>
      <c r="B13" s="7">
        <f ca="1">INDIRECT(B2&amp;"!B13")</f>
        <v>5000</v>
      </c>
      <c r="E13" s="27">
        <f t="shared" ref="E13:E31" si="1">E12+0.05</f>
        <v>-0.2</v>
      </c>
      <c r="F13" s="32">
        <f t="shared" si="0"/>
        <v>-0.2</v>
      </c>
      <c r="G13" s="28">
        <v>18937.590193942073</v>
      </c>
      <c r="H13" s="31"/>
      <c r="I13" s="22"/>
      <c r="L13" s="27"/>
    </row>
    <row r="14" spans="1:33" ht="15.75" x14ac:dyDescent="0.5">
      <c r="A14" s="3">
        <v>6</v>
      </c>
      <c r="B14" s="7">
        <f ca="1">INDIRECT(B2&amp;"!B14")</f>
        <v>0</v>
      </c>
      <c r="E14" s="27">
        <f t="shared" si="1"/>
        <v>-0.15000000000000002</v>
      </c>
      <c r="F14" s="32">
        <f t="shared" si="0"/>
        <v>-0.15000000000000002</v>
      </c>
      <c r="G14" s="28">
        <v>6000</v>
      </c>
      <c r="H14" s="31"/>
      <c r="I14" s="22"/>
      <c r="L14" s="27"/>
    </row>
    <row r="15" spans="1:33" ht="15.75" x14ac:dyDescent="0.5">
      <c r="A15" s="3">
        <v>7</v>
      </c>
      <c r="B15" s="7">
        <f ca="1">INDIRECT(B2&amp;"!B15")</f>
        <v>0</v>
      </c>
      <c r="E15" s="27">
        <f t="shared" si="1"/>
        <v>-0.10000000000000002</v>
      </c>
      <c r="F15" s="32">
        <f t="shared" si="0"/>
        <v>-0.10000000000000002</v>
      </c>
      <c r="G15" s="28">
        <v>-1269.933127572016</v>
      </c>
      <c r="H15" s="31"/>
      <c r="I15" s="22"/>
      <c r="L15" s="27"/>
    </row>
    <row r="16" spans="1:33" ht="15.75" x14ac:dyDescent="0.5">
      <c r="A16" s="3">
        <v>8</v>
      </c>
      <c r="B16" s="7">
        <f ca="1">INDIRECT(B2&amp;"!B16")</f>
        <v>0</v>
      </c>
      <c r="E16" s="27">
        <f t="shared" si="1"/>
        <v>-5.0000000000000017E-2</v>
      </c>
      <c r="F16" s="32">
        <f t="shared" si="0"/>
        <v>-5.0000000000000017E-2</v>
      </c>
      <c r="G16" s="28">
        <v>-5000.453655716703</v>
      </c>
      <c r="H16" s="31"/>
      <c r="I16" s="22"/>
      <c r="L16" s="27"/>
    </row>
    <row r="17" spans="1:12" ht="15.75" x14ac:dyDescent="0.5">
      <c r="A17" s="3">
        <v>9</v>
      </c>
      <c r="B17" s="7">
        <f ca="1">INDIRECT(B2&amp;"!B17")</f>
        <v>0</v>
      </c>
      <c r="E17" s="27">
        <f t="shared" si="1"/>
        <v>0</v>
      </c>
      <c r="F17" s="32">
        <f t="shared" si="0"/>
        <v>0</v>
      </c>
      <c r="G17" s="28">
        <v>-6913.1909323496166</v>
      </c>
      <c r="H17" s="31"/>
      <c r="I17" s="22"/>
      <c r="L17" s="27"/>
    </row>
    <row r="18" spans="1:12" ht="15.75" x14ac:dyDescent="0.5">
      <c r="A18" s="3">
        <v>10</v>
      </c>
      <c r="B18" s="7">
        <f ca="1">INDIRECT(B2&amp;"!B18")</f>
        <v>0</v>
      </c>
      <c r="E18" s="27">
        <f t="shared" si="1"/>
        <v>0.05</v>
      </c>
      <c r="F18" s="32">
        <f t="shared" si="0"/>
        <v>0.05</v>
      </c>
      <c r="G18" s="28">
        <v>-7942.0636267320533</v>
      </c>
      <c r="H18" s="31"/>
      <c r="I18" s="22"/>
      <c r="L18" s="27"/>
    </row>
    <row r="19" spans="1:12" ht="15.75" x14ac:dyDescent="0.5">
      <c r="A19" s="3">
        <v>11</v>
      </c>
      <c r="B19" s="7">
        <f ca="1">INDIRECT(B2&amp;"!B19")</f>
        <v>0</v>
      </c>
      <c r="E19" s="27">
        <f t="shared" si="1"/>
        <v>0.1</v>
      </c>
      <c r="F19" s="32">
        <f t="shared" si="0"/>
        <v>0.1</v>
      </c>
      <c r="G19" s="28">
        <v>-8534.4000000000015</v>
      </c>
      <c r="H19" s="31"/>
      <c r="I19" s="22"/>
      <c r="L19" s="27"/>
    </row>
    <row r="20" spans="1:12" ht="15.75" x14ac:dyDescent="0.5">
      <c r="A20" s="3">
        <v>12</v>
      </c>
      <c r="B20" s="7">
        <f ca="1">INDIRECT(B2&amp;"!B20")</f>
        <v>0</v>
      </c>
      <c r="E20" s="27">
        <f t="shared" si="1"/>
        <v>0.15000000000000002</v>
      </c>
      <c r="F20" s="32">
        <f t="shared" si="0"/>
        <v>0.15000000000000002</v>
      </c>
      <c r="G20" s="28">
        <v>-8900.1609805404041</v>
      </c>
      <c r="H20" s="31"/>
      <c r="I20" s="22"/>
      <c r="L20" s="27"/>
    </row>
    <row r="21" spans="1:12" ht="15.75" x14ac:dyDescent="0.5">
      <c r="A21" s="3">
        <v>13</v>
      </c>
      <c r="B21" s="7">
        <f ca="1">INDIRECT(B2&amp;"!B21")</f>
        <v>0</v>
      </c>
      <c r="E21" s="27">
        <f t="shared" si="1"/>
        <v>0.2</v>
      </c>
      <c r="F21" s="32">
        <f t="shared" si="0"/>
        <v>0.2</v>
      </c>
      <c r="G21" s="26">
        <v>-9140.735867692636</v>
      </c>
      <c r="H21" s="31"/>
    </row>
    <row r="22" spans="1:12" ht="15.75" x14ac:dyDescent="0.5">
      <c r="A22" s="3">
        <v>14</v>
      </c>
      <c r="B22" s="7">
        <f ca="1">INDIRECT(B2&amp;"!B22")</f>
        <v>0</v>
      </c>
      <c r="E22" s="27">
        <f t="shared" si="1"/>
        <v>0.25</v>
      </c>
      <c r="F22" s="32">
        <f t="shared" si="0"/>
        <v>0.25</v>
      </c>
      <c r="G22" s="26">
        <v>-9307.6171875</v>
      </c>
      <c r="H22" s="31"/>
    </row>
    <row r="23" spans="1:12" ht="15.75" x14ac:dyDescent="0.5">
      <c r="A23" s="3">
        <v>15</v>
      </c>
      <c r="B23" s="7">
        <f ca="1">INDIRECT(B2&amp;"!B23")</f>
        <v>0</v>
      </c>
      <c r="E23" s="27">
        <f t="shared" si="1"/>
        <v>0.3</v>
      </c>
      <c r="F23" s="32">
        <f t="shared" si="0"/>
        <v>0.3</v>
      </c>
      <c r="G23" s="26">
        <v>-9428.5170942567838</v>
      </c>
      <c r="H23" s="31"/>
    </row>
    <row r="24" spans="1:12" ht="15.75" x14ac:dyDescent="0.5">
      <c r="A24" s="3">
        <v>16</v>
      </c>
      <c r="B24" s="7">
        <f ca="1">INDIRECT(B2&amp;"!B24")</f>
        <v>0</v>
      </c>
      <c r="E24" s="27">
        <f t="shared" si="1"/>
        <v>0.35</v>
      </c>
      <c r="F24" s="32">
        <f t="shared" si="0"/>
        <v>0.35</v>
      </c>
      <c r="G24" s="26">
        <v>-9519.2342207012007</v>
      </c>
      <c r="H24" s="31"/>
    </row>
    <row r="25" spans="1:12" ht="15.75" x14ac:dyDescent="0.5">
      <c r="A25" s="3">
        <v>17</v>
      </c>
      <c r="B25" s="7">
        <f ca="1">INDIRECT(B2&amp;"!B25")</f>
        <v>0</v>
      </c>
      <c r="E25" s="27">
        <f t="shared" si="1"/>
        <v>0.39999999999999997</v>
      </c>
      <c r="F25" s="32">
        <f t="shared" si="0"/>
        <v>0.39999999999999997</v>
      </c>
      <c r="G25" s="26">
        <v>-9589.2684221662785</v>
      </c>
      <c r="H25" s="31"/>
    </row>
    <row r="26" spans="1:12" ht="15.75" x14ac:dyDescent="0.5">
      <c r="A26" s="3">
        <v>18</v>
      </c>
      <c r="B26" s="7">
        <f ca="1">INDIRECT(B2&amp;"!B26")</f>
        <v>0</v>
      </c>
      <c r="E26" s="27">
        <f t="shared" si="1"/>
        <v>0.44999999999999996</v>
      </c>
      <c r="F26" s="32">
        <f t="shared" si="0"/>
        <v>0.44999999999999996</v>
      </c>
      <c r="G26" s="26">
        <v>-9644.6092162035457</v>
      </c>
      <c r="H26" s="31"/>
    </row>
    <row r="27" spans="1:12" ht="15.75" x14ac:dyDescent="0.5">
      <c r="A27" s="3">
        <v>19</v>
      </c>
      <c r="B27" s="7">
        <f ca="1">INDIRECT(B2&amp;"!B27")</f>
        <v>0</v>
      </c>
      <c r="E27" s="27">
        <f t="shared" si="1"/>
        <v>0.49999999999999994</v>
      </c>
      <c r="F27" s="32">
        <f t="shared" si="0"/>
        <v>0.49999999999999994</v>
      </c>
      <c r="G27" s="26">
        <v>-9689.1917695473239</v>
      </c>
      <c r="H27" s="31"/>
    </row>
    <row r="28" spans="1:12" ht="15.75" x14ac:dyDescent="0.5">
      <c r="A28" s="3">
        <v>20</v>
      </c>
      <c r="B28" s="7">
        <f ca="1">INDIRECT(B2&amp;"!B28")</f>
        <v>0</v>
      </c>
      <c r="E28" s="27">
        <f t="shared" si="1"/>
        <v>0.54999999999999993</v>
      </c>
      <c r="F28" s="32">
        <f t="shared" si="0"/>
        <v>0.54999999999999993</v>
      </c>
      <c r="G28" s="26">
        <v>-9725.694860437332</v>
      </c>
      <c r="H28" s="31"/>
    </row>
    <row r="29" spans="1:12" ht="15.75" x14ac:dyDescent="0.5">
      <c r="A29" s="3">
        <v>21</v>
      </c>
      <c r="B29" s="7">
        <f ca="1">INDIRECT(B2&amp;"!B29")</f>
        <v>0</v>
      </c>
      <c r="E29" s="27">
        <f t="shared" si="1"/>
        <v>0.6</v>
      </c>
      <c r="F29" s="32">
        <f t="shared" si="0"/>
        <v>0.6</v>
      </c>
      <c r="G29" s="26">
        <v>-9755.998348926063</v>
      </c>
      <c r="H29" s="31"/>
    </row>
    <row r="30" spans="1:12" ht="15.75" x14ac:dyDescent="0.5">
      <c r="E30" s="27">
        <f t="shared" si="1"/>
        <v>0.65</v>
      </c>
      <c r="F30" s="32">
        <f t="shared" si="0"/>
        <v>0.65</v>
      </c>
      <c r="G30" s="26">
        <v>-9781.4564012881474</v>
      </c>
      <c r="H30" s="31"/>
    </row>
    <row r="31" spans="1:12" ht="15.75" x14ac:dyDescent="0.5">
      <c r="E31" s="27">
        <f t="shared" si="1"/>
        <v>0.70000000000000007</v>
      </c>
      <c r="F31" s="32">
        <f t="shared" si="0"/>
        <v>0.70000000000000007</v>
      </c>
      <c r="G31" s="26">
        <v>-9803.066774559964</v>
      </c>
      <c r="H31" s="31"/>
    </row>
    <row r="32" spans="1:12" ht="15.75" x14ac:dyDescent="0.5">
      <c r="E32" s="29"/>
      <c r="F32" s="27"/>
      <c r="G32" s="26"/>
    </row>
    <row r="33" spans="5:7" ht="15.75" x14ac:dyDescent="0.5">
      <c r="E33" s="29"/>
      <c r="F33" s="27"/>
      <c r="G33" s="26"/>
    </row>
    <row r="34" spans="5:7" ht="15.75" x14ac:dyDescent="0.5">
      <c r="E34" s="24"/>
      <c r="F34" s="53" t="s">
        <v>55</v>
      </c>
      <c r="G34" s="53"/>
    </row>
    <row r="35" spans="5:7" ht="15.75" x14ac:dyDescent="0.5">
      <c r="E35" s="24"/>
      <c r="F35" s="30" t="s">
        <v>32</v>
      </c>
      <c r="G35" s="31">
        <f ca="1">B8+NPV(F3,OFFSET(B9:B29,0,0, $B$5, 1))</f>
        <v>52094.3654429702</v>
      </c>
    </row>
    <row r="36" spans="5:7" ht="15.75" x14ac:dyDescent="0.5">
      <c r="E36" s="24"/>
      <c r="F36" s="32">
        <v>-0.3</v>
      </c>
      <c r="G36" s="31">
        <f t="dataTable" ref="G36:G56" dt2D="0" dtr="0" r1="F3" ca="1"/>
        <v>52094.3654429702</v>
      </c>
    </row>
    <row r="37" spans="5:7" ht="15.75" x14ac:dyDescent="0.5">
      <c r="E37" s="24"/>
      <c r="F37" s="32">
        <v>-0.25</v>
      </c>
      <c r="G37" s="31">
        <v>37045.267489711929</v>
      </c>
    </row>
    <row r="38" spans="5:7" ht="15.75" x14ac:dyDescent="0.5">
      <c r="E38" s="24"/>
      <c r="F38" s="32">
        <v>-0.2</v>
      </c>
      <c r="G38" s="31">
        <v>26508.789062499993</v>
      </c>
    </row>
    <row r="39" spans="5:7" ht="15.75" x14ac:dyDescent="0.5">
      <c r="E39" s="24"/>
      <c r="F39" s="32">
        <v>-0.15000000000000002</v>
      </c>
      <c r="G39" s="31">
        <v>18937.590193942073</v>
      </c>
    </row>
    <row r="40" spans="5:7" ht="15.75" x14ac:dyDescent="0.5">
      <c r="F40" s="32">
        <v>-0.10000000000000002</v>
      </c>
      <c r="G40" s="31">
        <v>13370.759877389963</v>
      </c>
    </row>
    <row r="41" spans="5:7" ht="15.75" x14ac:dyDescent="0.5">
      <c r="F41" s="32">
        <v>-5.0000000000000017E-2</v>
      </c>
      <c r="G41" s="31">
        <v>9193.1098069988329</v>
      </c>
    </row>
    <row r="42" spans="5:7" ht="15.75" x14ac:dyDescent="0.5">
      <c r="F42" s="32">
        <v>-1.3877787807814457E-17</v>
      </c>
      <c r="G42" s="31">
        <v>6000</v>
      </c>
    </row>
    <row r="43" spans="5:7" ht="15.75" x14ac:dyDescent="0.5">
      <c r="F43" s="32">
        <v>4.9999999999999989E-2</v>
      </c>
      <c r="G43" s="31">
        <v>3518.7743887822544</v>
      </c>
    </row>
    <row r="44" spans="5:7" ht="15.75" x14ac:dyDescent="0.5">
      <c r="F44" s="32">
        <v>9.9999999999999992E-2</v>
      </c>
      <c r="G44" s="31">
        <v>1561.6792196260776</v>
      </c>
    </row>
    <row r="45" spans="5:7" ht="15.75" x14ac:dyDescent="0.5">
      <c r="F45" s="32">
        <v>0.15</v>
      </c>
      <c r="G45" s="31">
        <v>-3.1368744642713864</v>
      </c>
    </row>
    <row r="46" spans="5:7" ht="15.75" x14ac:dyDescent="0.5">
      <c r="F46" s="32">
        <v>0.2</v>
      </c>
      <c r="G46" s="31">
        <v>-1269.933127572016</v>
      </c>
    </row>
    <row r="47" spans="5:7" ht="15.75" x14ac:dyDescent="0.5">
      <c r="F47" s="32">
        <v>0.25</v>
      </c>
      <c r="G47" s="31">
        <v>-2307.1999999999998</v>
      </c>
    </row>
    <row r="48" spans="5:7" ht="15.75" x14ac:dyDescent="0.5">
      <c r="F48" s="32">
        <v>0.3</v>
      </c>
      <c r="G48" s="31">
        <v>-3165.4515436595902</v>
      </c>
    </row>
    <row r="49" spans="6:7" ht="15.75" x14ac:dyDescent="0.5">
      <c r="F49" s="32">
        <v>0.35</v>
      </c>
      <c r="G49" s="31">
        <v>-3882.4580854834458</v>
      </c>
    </row>
    <row r="50" spans="6:7" ht="15.75" x14ac:dyDescent="0.5">
      <c r="F50" s="32">
        <v>0.39999999999999997</v>
      </c>
      <c r="G50" s="31">
        <v>-4486.8209674540358</v>
      </c>
    </row>
    <row r="51" spans="6:7" ht="15.75" x14ac:dyDescent="0.5">
      <c r="F51" s="32">
        <v>0.44999999999999996</v>
      </c>
      <c r="G51" s="31">
        <v>-5000.453655716703</v>
      </c>
    </row>
    <row r="52" spans="6:7" ht="15.75" x14ac:dyDescent="0.5">
      <c r="F52" s="32">
        <v>0.49999999999999994</v>
      </c>
      <c r="G52" s="31">
        <v>-5440.3292181069964</v>
      </c>
    </row>
    <row r="53" spans="6:7" ht="15.75" x14ac:dyDescent="0.5">
      <c r="F53" s="32">
        <v>0.54999999999999993</v>
      </c>
      <c r="G53" s="31">
        <v>-5819.7279409368439</v>
      </c>
    </row>
    <row r="54" spans="6:7" ht="15.75" x14ac:dyDescent="0.5">
      <c r="F54" s="32">
        <v>0.6</v>
      </c>
      <c r="G54" s="31">
        <v>-6149.139404296875</v>
      </c>
    </row>
    <row r="55" spans="6:7" ht="15.75" x14ac:dyDescent="0.5">
      <c r="F55" s="32">
        <v>0.65</v>
      </c>
      <c r="G55" s="31">
        <v>-6436.9224553334625</v>
      </c>
    </row>
    <row r="56" spans="6:7" ht="15.75" x14ac:dyDescent="0.5">
      <c r="F56" s="32">
        <v>0.70000000000000007</v>
      </c>
      <c r="G56" s="31">
        <v>-6689.7934087728563</v>
      </c>
    </row>
  </sheetData>
  <dataConsolidate/>
  <mergeCells count="4">
    <mergeCell ref="E1:F2"/>
    <mergeCell ref="F34:G34"/>
    <mergeCell ref="F9:G9"/>
    <mergeCell ref="H9:K10"/>
  </mergeCells>
  <conditionalFormatting sqref="A8:A29">
    <cfRule type="cellIs" dxfId="42" priority="14" operator="greaterThan">
      <formula>$B$5</formula>
    </cfRule>
  </conditionalFormatting>
  <conditionalFormatting sqref="B8:B29">
    <cfRule type="expression" dxfId="41" priority="13">
      <formula>A8&gt;$B$5</formula>
    </cfRule>
  </conditionalFormatting>
  <conditionalFormatting sqref="G10:G14 H12:H15">
    <cfRule type="cellIs" dxfId="40" priority="10" operator="lessThan">
      <formula>0</formula>
    </cfRule>
  </conditionalFormatting>
  <conditionalFormatting sqref="G15:G20">
    <cfRule type="cellIs" dxfId="39" priority="7" operator="lessThan">
      <formula>0</formula>
    </cfRule>
  </conditionalFormatting>
  <conditionalFormatting sqref="G35:G56">
    <cfRule type="cellIs" dxfId="38" priority="8" operator="lessThan">
      <formula>0</formula>
    </cfRule>
  </conditionalFormatting>
  <conditionalFormatting sqref="H16:H20">
    <cfRule type="cellIs" dxfId="37" priority="4" operator="lessThan">
      <formula>0</formula>
    </cfRule>
  </conditionalFormatting>
  <conditionalFormatting sqref="G46:G56">
    <cfRule type="cellIs" dxfId="36" priority="5" operator="lessThan">
      <formula>0</formula>
    </cfRule>
  </conditionalFormatting>
  <conditionalFormatting sqref="H21:H31">
    <cfRule type="cellIs" dxfId="35" priority="3" operator="lessThan">
      <formula>0</formula>
    </cfRule>
  </conditionalFormatting>
  <conditionalFormatting sqref="F3">
    <cfRule type="expression" dxfId="34" priority="2">
      <formula>$F$3&gt;$F$4</formula>
    </cfRule>
  </conditionalFormatting>
  <conditionalFormatting sqref="F4">
    <cfRule type="expression" dxfId="33" priority="1">
      <formula>$F$4&lt;$F$3</formula>
    </cfRule>
  </conditionalFormatting>
  <hyperlinks>
    <hyperlink ref="A1" location="Summary!A1" display="Summary"/>
  </hyperlink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Summary!$A$14:$A$24</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6</v>
      </c>
      <c r="C2" s="47"/>
      <c r="D2" s="47"/>
      <c r="E2" s="47"/>
      <c r="F2" s="47"/>
      <c r="G2" s="48"/>
    </row>
    <row r="4" spans="1:7" x14ac:dyDescent="0.45">
      <c r="A4" s="3" t="s">
        <v>1</v>
      </c>
      <c r="B4" s="4">
        <v>5</v>
      </c>
      <c r="C4" s="2" t="s">
        <v>5</v>
      </c>
      <c r="E4" s="8" t="s">
        <v>8</v>
      </c>
      <c r="F4" s="36">
        <f>Summary!B3+Summary!B4*ProjectA!B5</f>
        <v>7.5000000000000011E-2</v>
      </c>
    </row>
    <row r="5" spans="1:7" x14ac:dyDescent="0.45">
      <c r="A5" s="3" t="s">
        <v>2</v>
      </c>
      <c r="B5" s="5">
        <v>0.5</v>
      </c>
      <c r="E5" s="8" t="s">
        <v>10</v>
      </c>
      <c r="F5" s="11">
        <f ca="1">B8+NPV(F4,OFFSET(B9:B33,0,0, $B$4, 1))</f>
        <v>2484.0073301096054</v>
      </c>
    </row>
    <row r="6" spans="1:7" x14ac:dyDescent="0.45">
      <c r="E6" s="8" t="s">
        <v>9</v>
      </c>
      <c r="F6" s="10">
        <f>IFERROR(IRR(B8:B33, F7), "NO IRR")</f>
        <v>0.14988819942633702</v>
      </c>
    </row>
    <row r="7" spans="1:7" x14ac:dyDescent="0.45">
      <c r="A7" s="6" t="s">
        <v>3</v>
      </c>
      <c r="B7" s="6" t="s">
        <v>4</v>
      </c>
      <c r="E7" s="8" t="s">
        <v>7</v>
      </c>
      <c r="F7" s="10">
        <f>(SUM(B8:B33)/B4)/-B8</f>
        <v>0.12</v>
      </c>
    </row>
    <row r="8" spans="1:7" x14ac:dyDescent="0.45">
      <c r="A8" s="3">
        <v>0</v>
      </c>
      <c r="B8" s="7">
        <v>-10000</v>
      </c>
    </row>
    <row r="9" spans="1:7" x14ac:dyDescent="0.45">
      <c r="A9" s="3">
        <f>A8+1</f>
        <v>1</v>
      </c>
      <c r="B9" s="7">
        <v>2000</v>
      </c>
    </row>
    <row r="10" spans="1:7" x14ac:dyDescent="0.45">
      <c r="A10" s="3">
        <f t="shared" ref="A10:A34" si="0">A9+1</f>
        <v>2</v>
      </c>
      <c r="B10" s="7">
        <v>2000</v>
      </c>
    </row>
    <row r="11" spans="1:7" x14ac:dyDescent="0.45">
      <c r="A11" s="3">
        <f t="shared" si="0"/>
        <v>3</v>
      </c>
      <c r="B11" s="7">
        <v>3000</v>
      </c>
    </row>
    <row r="12" spans="1:7" x14ac:dyDescent="0.45">
      <c r="A12" s="3">
        <f t="shared" si="0"/>
        <v>4</v>
      </c>
      <c r="B12" s="7">
        <v>4000</v>
      </c>
    </row>
    <row r="13" spans="1:7" x14ac:dyDescent="0.45">
      <c r="A13" s="3">
        <f t="shared" si="0"/>
        <v>5</v>
      </c>
      <c r="B13" s="7">
        <v>5000</v>
      </c>
    </row>
    <row r="14" spans="1:7" x14ac:dyDescent="0.45">
      <c r="A14" s="3">
        <f t="shared" si="0"/>
        <v>6</v>
      </c>
      <c r="B14" s="7"/>
    </row>
    <row r="15" spans="1:7" x14ac:dyDescent="0.45">
      <c r="A15" s="3">
        <f t="shared" si="0"/>
        <v>7</v>
      </c>
      <c r="B15" s="7"/>
    </row>
    <row r="16" spans="1:7" x14ac:dyDescent="0.45">
      <c r="A16" s="3">
        <f t="shared" si="0"/>
        <v>8</v>
      </c>
      <c r="B16" s="7"/>
    </row>
    <row r="17" spans="1:2" x14ac:dyDescent="0.45">
      <c r="A17" s="3">
        <f t="shared" si="0"/>
        <v>9</v>
      </c>
      <c r="B17" s="7"/>
    </row>
    <row r="18" spans="1:2" x14ac:dyDescent="0.45">
      <c r="A18" s="3">
        <f t="shared" si="0"/>
        <v>10</v>
      </c>
      <c r="B18" s="7"/>
    </row>
    <row r="19" spans="1:2" x14ac:dyDescent="0.45">
      <c r="A19" s="3">
        <f t="shared" si="0"/>
        <v>11</v>
      </c>
      <c r="B19" s="7"/>
    </row>
    <row r="20" spans="1:2" x14ac:dyDescent="0.45">
      <c r="A20" s="3">
        <f t="shared" si="0"/>
        <v>12</v>
      </c>
      <c r="B20" s="7"/>
    </row>
    <row r="21" spans="1:2" x14ac:dyDescent="0.45">
      <c r="A21" s="3">
        <f t="shared" si="0"/>
        <v>13</v>
      </c>
      <c r="B21" s="7"/>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32" priority="14" operator="greaterThan">
      <formula>$B$4</formula>
    </cfRule>
  </conditionalFormatting>
  <conditionalFormatting sqref="B8">
    <cfRule type="expression" dxfId="31" priority="3">
      <formula>A8&gt;$B$4</formula>
    </cfRule>
  </conditionalFormatting>
  <conditionalFormatting sqref="B9:B33">
    <cfRule type="expression" dxfId="30"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50</v>
      </c>
      <c r="C2" s="47"/>
      <c r="D2" s="47"/>
      <c r="E2" s="47"/>
      <c r="F2" s="47"/>
      <c r="G2" s="48"/>
    </row>
    <row r="4" spans="1:7" x14ac:dyDescent="0.45">
      <c r="A4" s="3" t="s">
        <v>1</v>
      </c>
      <c r="B4" s="4">
        <v>6</v>
      </c>
      <c r="C4" s="2" t="s">
        <v>5</v>
      </c>
      <c r="E4" s="8" t="s">
        <v>8</v>
      </c>
      <c r="F4" s="36">
        <f>Summary!B3+Summary!B4*ProjectB!B5</f>
        <v>9.6000000000000002E-2</v>
      </c>
    </row>
    <row r="5" spans="1:7" x14ac:dyDescent="0.45">
      <c r="A5" s="3" t="s">
        <v>2</v>
      </c>
      <c r="B5" s="5">
        <v>0.8</v>
      </c>
      <c r="E5" s="8" t="s">
        <v>10</v>
      </c>
      <c r="F5" s="11">
        <f ca="1">B8+NPV(F4,OFFSET(B9:B33,0,0, $B$4, 1))</f>
        <v>4415.2717293983951</v>
      </c>
    </row>
    <row r="6" spans="1:7" x14ac:dyDescent="0.45">
      <c r="E6" s="8" t="s">
        <v>9</v>
      </c>
      <c r="F6" s="10">
        <f>IFERROR(IRR(B8:B33, F7), "NO IRR")</f>
        <v>0.30590772933683308</v>
      </c>
    </row>
    <row r="7" spans="1:7" x14ac:dyDescent="0.45">
      <c r="A7" s="6" t="s">
        <v>3</v>
      </c>
      <c r="B7" s="6" t="s">
        <v>4</v>
      </c>
      <c r="E7" s="8" t="s">
        <v>7</v>
      </c>
      <c r="F7" s="10">
        <f>(SUM(B8:B33)/B4)/-B8</f>
        <v>0.13333333333333333</v>
      </c>
    </row>
    <row r="8" spans="1:7" x14ac:dyDescent="0.45">
      <c r="A8" s="3">
        <v>0</v>
      </c>
      <c r="B8" s="7">
        <v>-10000</v>
      </c>
    </row>
    <row r="9" spans="1:7" x14ac:dyDescent="0.45">
      <c r="A9" s="3">
        <f>A8+1</f>
        <v>1</v>
      </c>
      <c r="B9" s="7">
        <v>8000</v>
      </c>
    </row>
    <row r="10" spans="1:7" x14ac:dyDescent="0.45">
      <c r="A10" s="3">
        <f t="shared" ref="A10:A34" si="0">A9+1</f>
        <v>2</v>
      </c>
      <c r="B10" s="7">
        <v>2000</v>
      </c>
    </row>
    <row r="11" spans="1:7" x14ac:dyDescent="0.45">
      <c r="A11" s="3">
        <f t="shared" si="0"/>
        <v>3</v>
      </c>
      <c r="B11" s="7">
        <v>3000</v>
      </c>
    </row>
    <row r="12" spans="1:7" x14ac:dyDescent="0.45">
      <c r="A12" s="3">
        <f t="shared" si="0"/>
        <v>4</v>
      </c>
      <c r="B12" s="7">
        <v>2000</v>
      </c>
    </row>
    <row r="13" spans="1:7" x14ac:dyDescent="0.45">
      <c r="A13" s="3">
        <f t="shared" si="0"/>
        <v>5</v>
      </c>
      <c r="B13" s="7">
        <v>1000</v>
      </c>
    </row>
    <row r="14" spans="1:7" x14ac:dyDescent="0.45">
      <c r="A14" s="3">
        <f t="shared" si="0"/>
        <v>6</v>
      </c>
      <c r="B14" s="7">
        <v>2000</v>
      </c>
    </row>
    <row r="15" spans="1:7" x14ac:dyDescent="0.45">
      <c r="A15" s="3">
        <f t="shared" si="0"/>
        <v>7</v>
      </c>
      <c r="B15" s="7"/>
    </row>
    <row r="16" spans="1:7" x14ac:dyDescent="0.45">
      <c r="A16" s="3">
        <f t="shared" si="0"/>
        <v>8</v>
      </c>
      <c r="B16" s="7"/>
    </row>
    <row r="17" spans="1:2" x14ac:dyDescent="0.45">
      <c r="A17" s="3">
        <f t="shared" si="0"/>
        <v>9</v>
      </c>
      <c r="B17" s="7"/>
    </row>
    <row r="18" spans="1:2" x14ac:dyDescent="0.45">
      <c r="A18" s="3">
        <f t="shared" si="0"/>
        <v>10</v>
      </c>
      <c r="B18" s="7"/>
    </row>
    <row r="19" spans="1:2" x14ac:dyDescent="0.45">
      <c r="A19" s="3">
        <f t="shared" si="0"/>
        <v>11</v>
      </c>
      <c r="B19" s="7"/>
    </row>
    <row r="20" spans="1:2" x14ac:dyDescent="0.45">
      <c r="A20" s="3">
        <f t="shared" si="0"/>
        <v>12</v>
      </c>
      <c r="B20" s="7"/>
    </row>
    <row r="21" spans="1:2" x14ac:dyDescent="0.45">
      <c r="A21" s="3">
        <f t="shared" si="0"/>
        <v>13</v>
      </c>
      <c r="B21" s="7"/>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29" priority="3" operator="greaterThan">
      <formula>$B$4</formula>
    </cfRule>
  </conditionalFormatting>
  <conditionalFormatting sqref="B8">
    <cfRule type="expression" dxfId="28" priority="2">
      <formula>A8&gt;$B$4</formula>
    </cfRule>
  </conditionalFormatting>
  <conditionalFormatting sqref="B9:B33">
    <cfRule type="expression" dxfId="27"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49</v>
      </c>
      <c r="C2" s="47"/>
      <c r="D2" s="47"/>
      <c r="E2" s="47"/>
      <c r="F2" s="47"/>
      <c r="G2" s="48"/>
    </row>
    <row r="4" spans="1:7" x14ac:dyDescent="0.45">
      <c r="A4" s="3" t="s">
        <v>1</v>
      </c>
      <c r="B4" s="4">
        <v>10</v>
      </c>
      <c r="C4" s="2" t="s">
        <v>5</v>
      </c>
      <c r="E4" s="8" t="s">
        <v>8</v>
      </c>
      <c r="F4" s="36">
        <f>Summary!B3+Summary!B4*ProjectC!B5</f>
        <v>6.8000000000000005E-2</v>
      </c>
    </row>
    <row r="5" spans="1:7" x14ac:dyDescent="0.45">
      <c r="A5" s="3" t="s">
        <v>2</v>
      </c>
      <c r="B5" s="5">
        <v>0.4</v>
      </c>
      <c r="E5" s="8" t="s">
        <v>10</v>
      </c>
      <c r="F5" s="11">
        <f ca="1">B8+NPV(F4,OFFSET(B9:B33,0,0, $B$4, 1))</f>
        <v>2499.5044362277549</v>
      </c>
    </row>
    <row r="6" spans="1:7" x14ac:dyDescent="0.45">
      <c r="E6" s="8" t="s">
        <v>9</v>
      </c>
      <c r="F6" s="10">
        <f>IFERROR(IRR(B8:B33, F7), "NO IRR")</f>
        <v>8.3561415554842977E-2</v>
      </c>
    </row>
    <row r="7" spans="1:7" x14ac:dyDescent="0.45">
      <c r="A7" s="6" t="s">
        <v>3</v>
      </c>
      <c r="B7" s="6" t="s">
        <v>4</v>
      </c>
      <c r="E7" s="8" t="s">
        <v>7</v>
      </c>
      <c r="F7" s="10">
        <f>(SUM(B8:B33)/B4)/-B8</f>
        <v>0.06</v>
      </c>
    </row>
    <row r="8" spans="1:7" x14ac:dyDescent="0.45">
      <c r="A8" s="3">
        <v>0</v>
      </c>
      <c r="B8" s="7">
        <v>-30000</v>
      </c>
    </row>
    <row r="9" spans="1:7" x14ac:dyDescent="0.45">
      <c r="A9" s="3">
        <f>A8+1</f>
        <v>1</v>
      </c>
      <c r="B9" s="7">
        <v>4000</v>
      </c>
    </row>
    <row r="10" spans="1:7" x14ac:dyDescent="0.45">
      <c r="A10" s="3">
        <f t="shared" ref="A10:A34" si="0">A9+1</f>
        <v>2</v>
      </c>
      <c r="B10" s="7">
        <v>4000</v>
      </c>
    </row>
    <row r="11" spans="1:7" x14ac:dyDescent="0.45">
      <c r="A11" s="3">
        <f t="shared" si="0"/>
        <v>3</v>
      </c>
      <c r="B11" s="7">
        <v>4000</v>
      </c>
    </row>
    <row r="12" spans="1:7" x14ac:dyDescent="0.45">
      <c r="A12" s="3">
        <f t="shared" si="0"/>
        <v>4</v>
      </c>
      <c r="B12" s="7">
        <v>4000</v>
      </c>
    </row>
    <row r="13" spans="1:7" x14ac:dyDescent="0.45">
      <c r="A13" s="3">
        <f t="shared" si="0"/>
        <v>5</v>
      </c>
      <c r="B13" s="7">
        <v>4000</v>
      </c>
    </row>
    <row r="14" spans="1:7" x14ac:dyDescent="0.45">
      <c r="A14" s="3">
        <f t="shared" si="0"/>
        <v>6</v>
      </c>
      <c r="B14" s="7">
        <v>4000</v>
      </c>
    </row>
    <row r="15" spans="1:7" x14ac:dyDescent="0.45">
      <c r="A15" s="3">
        <f t="shared" si="0"/>
        <v>7</v>
      </c>
      <c r="B15" s="7">
        <v>4000</v>
      </c>
    </row>
    <row r="16" spans="1:7" x14ac:dyDescent="0.45">
      <c r="A16" s="3">
        <f t="shared" si="0"/>
        <v>8</v>
      </c>
      <c r="B16" s="7">
        <v>4000</v>
      </c>
    </row>
    <row r="17" spans="1:2" x14ac:dyDescent="0.45">
      <c r="A17" s="3">
        <f t="shared" si="0"/>
        <v>9</v>
      </c>
      <c r="B17" s="7">
        <v>4000</v>
      </c>
    </row>
    <row r="18" spans="1:2" x14ac:dyDescent="0.45">
      <c r="A18" s="3">
        <f t="shared" si="0"/>
        <v>10</v>
      </c>
      <c r="B18" s="7">
        <v>12000</v>
      </c>
    </row>
    <row r="19" spans="1:2" x14ac:dyDescent="0.45">
      <c r="A19" s="3">
        <f t="shared" si="0"/>
        <v>11</v>
      </c>
      <c r="B19" s="7"/>
    </row>
    <row r="20" spans="1:2" x14ac:dyDescent="0.45">
      <c r="A20" s="3">
        <f t="shared" si="0"/>
        <v>12</v>
      </c>
      <c r="B20" s="7"/>
    </row>
    <row r="21" spans="1:2" x14ac:dyDescent="0.45">
      <c r="A21" s="3">
        <f t="shared" si="0"/>
        <v>13</v>
      </c>
      <c r="B21" s="7"/>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26" priority="3" operator="greaterThan">
      <formula>$B$4</formula>
    </cfRule>
  </conditionalFormatting>
  <conditionalFormatting sqref="B8">
    <cfRule type="expression" dxfId="25" priority="2">
      <formula>A8&gt;$B$4</formula>
    </cfRule>
  </conditionalFormatting>
  <conditionalFormatting sqref="B9:B33">
    <cfRule type="expression" dxfId="24"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4"/>
  <sheetViews>
    <sheetView showGridLines="0" workbookViewId="0">
      <selection activeCell="H34" sqref="H3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48</v>
      </c>
      <c r="C2" s="47"/>
      <c r="D2" s="47"/>
      <c r="E2" s="47"/>
      <c r="F2" s="47"/>
      <c r="G2" s="48"/>
    </row>
    <row r="4" spans="1:7" x14ac:dyDescent="0.45">
      <c r="A4" s="3" t="s">
        <v>1</v>
      </c>
      <c r="B4" s="4">
        <v>15</v>
      </c>
      <c r="C4" s="2" t="s">
        <v>5</v>
      </c>
      <c r="E4" s="8" t="s">
        <v>8</v>
      </c>
      <c r="F4" s="36">
        <f>Summary!B3+Summary!B4*ProjectD!B5</f>
        <v>9.6000000000000002E-2</v>
      </c>
    </row>
    <row r="5" spans="1:7" x14ac:dyDescent="0.45">
      <c r="A5" s="3" t="s">
        <v>2</v>
      </c>
      <c r="B5" s="5">
        <v>0.8</v>
      </c>
      <c r="E5" s="8" t="s">
        <v>10</v>
      </c>
      <c r="F5" s="11">
        <f ca="1">B8+NPV(F4,OFFSET(B9:B33,0,0, $B$4, 1))</f>
        <v>38066.792386503192</v>
      </c>
    </row>
    <row r="6" spans="1:7" x14ac:dyDescent="0.45">
      <c r="E6" s="8" t="s">
        <v>9</v>
      </c>
      <c r="F6" s="10">
        <f>IFERROR(IRR(B8:B33, F7), "NO IRR")</f>
        <v>0.18428146286483393</v>
      </c>
    </row>
    <row r="7" spans="1:7" x14ac:dyDescent="0.45">
      <c r="A7" s="6" t="s">
        <v>3</v>
      </c>
      <c r="B7" s="6" t="s">
        <v>4</v>
      </c>
      <c r="E7" s="8" t="s">
        <v>7</v>
      </c>
      <c r="F7" s="10">
        <f>(SUM(B8:B33)/B4)/-B8</f>
        <v>0.19750000000000001</v>
      </c>
    </row>
    <row r="8" spans="1:7" x14ac:dyDescent="0.45">
      <c r="A8" s="3">
        <v>0</v>
      </c>
      <c r="B8" s="7">
        <v>-80000</v>
      </c>
    </row>
    <row r="9" spans="1:7" x14ac:dyDescent="0.45">
      <c r="A9" s="3">
        <f>A8+1</f>
        <v>1</v>
      </c>
      <c r="B9" s="7">
        <v>20000</v>
      </c>
    </row>
    <row r="10" spans="1:7" x14ac:dyDescent="0.45">
      <c r="A10" s="3">
        <f t="shared" ref="A10:A34" si="0">A9+1</f>
        <v>2</v>
      </c>
      <c r="B10" s="7">
        <v>20000</v>
      </c>
    </row>
    <row r="11" spans="1:7" x14ac:dyDescent="0.45">
      <c r="A11" s="3">
        <f t="shared" si="0"/>
        <v>3</v>
      </c>
      <c r="B11" s="7">
        <v>30000</v>
      </c>
    </row>
    <row r="12" spans="1:7" x14ac:dyDescent="0.45">
      <c r="A12" s="3">
        <f t="shared" si="0"/>
        <v>4</v>
      </c>
      <c r="B12" s="7">
        <v>20000</v>
      </c>
    </row>
    <row r="13" spans="1:7" x14ac:dyDescent="0.45">
      <c r="A13" s="3">
        <f t="shared" si="0"/>
        <v>5</v>
      </c>
      <c r="B13" s="7">
        <v>-40000</v>
      </c>
    </row>
    <row r="14" spans="1:7" x14ac:dyDescent="0.45">
      <c r="A14" s="3">
        <f t="shared" si="0"/>
        <v>6</v>
      </c>
      <c r="B14" s="7">
        <v>12000</v>
      </c>
    </row>
    <row r="15" spans="1:7" x14ac:dyDescent="0.45">
      <c r="A15" s="3">
        <f t="shared" si="0"/>
        <v>7</v>
      </c>
      <c r="B15" s="7">
        <v>15000</v>
      </c>
    </row>
    <row r="16" spans="1:7" x14ac:dyDescent="0.45">
      <c r="A16" s="3">
        <f t="shared" si="0"/>
        <v>8</v>
      </c>
      <c r="B16" s="7">
        <v>20000</v>
      </c>
    </row>
    <row r="17" spans="1:2" x14ac:dyDescent="0.45">
      <c r="A17" s="3">
        <f t="shared" si="0"/>
        <v>9</v>
      </c>
      <c r="B17" s="7">
        <v>20000</v>
      </c>
    </row>
    <row r="18" spans="1:2" x14ac:dyDescent="0.45">
      <c r="A18" s="3">
        <f t="shared" si="0"/>
        <v>10</v>
      </c>
      <c r="B18" s="7">
        <v>20000</v>
      </c>
    </row>
    <row r="19" spans="1:2" x14ac:dyDescent="0.45">
      <c r="A19" s="3">
        <f t="shared" si="0"/>
        <v>11</v>
      </c>
      <c r="B19" s="7">
        <v>20000</v>
      </c>
    </row>
    <row r="20" spans="1:2" x14ac:dyDescent="0.45">
      <c r="A20" s="3">
        <f t="shared" si="0"/>
        <v>12</v>
      </c>
      <c r="B20" s="7">
        <v>20000</v>
      </c>
    </row>
    <row r="21" spans="1:2" x14ac:dyDescent="0.45">
      <c r="A21" s="3">
        <f t="shared" si="0"/>
        <v>13</v>
      </c>
      <c r="B21" s="7">
        <v>20000</v>
      </c>
    </row>
    <row r="22" spans="1:2" x14ac:dyDescent="0.45">
      <c r="A22" s="3">
        <f t="shared" si="0"/>
        <v>14</v>
      </c>
      <c r="B22" s="7">
        <v>20000</v>
      </c>
    </row>
    <row r="23" spans="1:2" x14ac:dyDescent="0.45">
      <c r="A23" s="3">
        <f t="shared" si="0"/>
        <v>15</v>
      </c>
      <c r="B23" s="7">
        <v>20000</v>
      </c>
    </row>
    <row r="24" spans="1:2" x14ac:dyDescent="0.45">
      <c r="A24" s="3">
        <f t="shared" si="0"/>
        <v>16</v>
      </c>
      <c r="B24" s="7">
        <v>20000</v>
      </c>
    </row>
    <row r="25" spans="1:2" x14ac:dyDescent="0.45">
      <c r="A25" s="3">
        <f t="shared" si="0"/>
        <v>17</v>
      </c>
      <c r="B25" s="7">
        <v>20000</v>
      </c>
    </row>
    <row r="26" spans="1:2" x14ac:dyDescent="0.45">
      <c r="A26" s="3">
        <f t="shared" si="0"/>
        <v>18</v>
      </c>
      <c r="B26" s="7">
        <v>20000</v>
      </c>
    </row>
    <row r="27" spans="1:2" x14ac:dyDescent="0.45">
      <c r="A27" s="3">
        <f t="shared" si="0"/>
        <v>19</v>
      </c>
      <c r="B27" s="7">
        <v>20000</v>
      </c>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23" priority="3" operator="greaterThan">
      <formula>$B$4</formula>
    </cfRule>
  </conditionalFormatting>
  <conditionalFormatting sqref="B8">
    <cfRule type="expression" dxfId="22" priority="2">
      <formula>A8&gt;$B$4</formula>
    </cfRule>
  </conditionalFormatting>
  <conditionalFormatting sqref="B9:B33">
    <cfRule type="expression" dxfId="21"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4"/>
  <sheetViews>
    <sheetView showGridLines="0" workbookViewId="0">
      <selection activeCell="B34" sqref="B3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47</v>
      </c>
      <c r="C2" s="47"/>
      <c r="D2" s="47"/>
      <c r="E2" s="47"/>
      <c r="F2" s="47"/>
      <c r="G2" s="48"/>
    </row>
    <row r="4" spans="1:7" x14ac:dyDescent="0.45">
      <c r="A4" s="3" t="s">
        <v>1</v>
      </c>
      <c r="B4" s="4">
        <v>12</v>
      </c>
      <c r="C4" s="2" t="s">
        <v>5</v>
      </c>
      <c r="E4" s="8" t="s">
        <v>8</v>
      </c>
      <c r="F4" s="36">
        <f>Summary!B3+Summary!B4*ProjectE!B5</f>
        <v>0.11700000000000002</v>
      </c>
    </row>
    <row r="5" spans="1:7" x14ac:dyDescent="0.45">
      <c r="A5" s="3" t="s">
        <v>2</v>
      </c>
      <c r="B5" s="5">
        <v>1.1000000000000001</v>
      </c>
      <c r="E5" s="8" t="s">
        <v>10</v>
      </c>
      <c r="F5" s="11">
        <f ca="1">B8+NPV(F4,OFFSET(B9:B33,0,0, $B$4, 1))</f>
        <v>-13805.3796124951</v>
      </c>
    </row>
    <row r="6" spans="1:7" x14ac:dyDescent="0.45">
      <c r="E6" s="8" t="s">
        <v>9</v>
      </c>
      <c r="F6" s="10">
        <f>IFERROR(IRR(B8:B33, F7), "NO IRR")</f>
        <v>-5.6999004457590763E-3</v>
      </c>
    </row>
    <row r="7" spans="1:7" x14ac:dyDescent="0.45">
      <c r="A7" s="6" t="s">
        <v>3</v>
      </c>
      <c r="B7" s="6" t="s">
        <v>4</v>
      </c>
      <c r="E7" s="8" t="s">
        <v>7</v>
      </c>
      <c r="F7" s="10">
        <f>(SUM(B8:B33)/B4)/-B8</f>
        <v>-2.7777777777777775E-3</v>
      </c>
    </row>
    <row r="8" spans="1:7" x14ac:dyDescent="0.45">
      <c r="A8" s="3">
        <v>0</v>
      </c>
      <c r="B8" s="7">
        <v>-30000</v>
      </c>
    </row>
    <row r="9" spans="1:7" x14ac:dyDescent="0.45">
      <c r="A9" s="3">
        <f>A8+1</f>
        <v>1</v>
      </c>
      <c r="B9" s="7">
        <v>3000</v>
      </c>
    </row>
    <row r="10" spans="1:7" x14ac:dyDescent="0.45">
      <c r="A10" s="3">
        <f t="shared" ref="A10:A34" si="0">A9+1</f>
        <v>2</v>
      </c>
      <c r="B10" s="7">
        <v>3000</v>
      </c>
    </row>
    <row r="11" spans="1:7" x14ac:dyDescent="0.45">
      <c r="A11" s="3">
        <f t="shared" si="0"/>
        <v>3</v>
      </c>
      <c r="B11" s="7">
        <v>3000</v>
      </c>
    </row>
    <row r="12" spans="1:7" x14ac:dyDescent="0.45">
      <c r="A12" s="3">
        <f t="shared" si="0"/>
        <v>4</v>
      </c>
      <c r="B12" s="7">
        <v>3000</v>
      </c>
    </row>
    <row r="13" spans="1:7" x14ac:dyDescent="0.45">
      <c r="A13" s="3">
        <f t="shared" si="0"/>
        <v>5</v>
      </c>
      <c r="B13" s="7">
        <v>3000</v>
      </c>
    </row>
    <row r="14" spans="1:7" x14ac:dyDescent="0.45">
      <c r="A14" s="3">
        <f t="shared" si="0"/>
        <v>6</v>
      </c>
      <c r="B14" s="7">
        <v>2000</v>
      </c>
    </row>
    <row r="15" spans="1:7" x14ac:dyDescent="0.45">
      <c r="A15" s="3">
        <f t="shared" si="0"/>
        <v>7</v>
      </c>
      <c r="B15" s="7">
        <v>2000</v>
      </c>
    </row>
    <row r="16" spans="1:7" x14ac:dyDescent="0.45">
      <c r="A16" s="3">
        <f t="shared" si="0"/>
        <v>8</v>
      </c>
      <c r="B16" s="7">
        <v>2000</v>
      </c>
    </row>
    <row r="17" spans="1:2" x14ac:dyDescent="0.45">
      <c r="A17" s="3">
        <f t="shared" si="0"/>
        <v>9</v>
      </c>
      <c r="B17" s="7">
        <v>2000</v>
      </c>
    </row>
    <row r="18" spans="1:2" x14ac:dyDescent="0.45">
      <c r="A18" s="3">
        <f t="shared" si="0"/>
        <v>10</v>
      </c>
      <c r="B18" s="7">
        <v>2000</v>
      </c>
    </row>
    <row r="19" spans="1:2" x14ac:dyDescent="0.45">
      <c r="A19" s="3">
        <f t="shared" si="0"/>
        <v>11</v>
      </c>
      <c r="B19" s="7">
        <v>2000</v>
      </c>
    </row>
    <row r="20" spans="1:2" x14ac:dyDescent="0.45">
      <c r="A20" s="3">
        <f t="shared" si="0"/>
        <v>12</v>
      </c>
      <c r="B20" s="7">
        <v>2000</v>
      </c>
    </row>
    <row r="21" spans="1:2" x14ac:dyDescent="0.45">
      <c r="A21" s="3">
        <f t="shared" si="0"/>
        <v>13</v>
      </c>
      <c r="B21" s="7"/>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20" priority="3" operator="greaterThan">
      <formula>$B$4</formula>
    </cfRule>
  </conditionalFormatting>
  <conditionalFormatting sqref="B8">
    <cfRule type="expression" dxfId="19" priority="2">
      <formula>A8&gt;$B$4</formula>
    </cfRule>
  </conditionalFormatting>
  <conditionalFormatting sqref="B9:B33">
    <cfRule type="expression" dxfId="18"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46</v>
      </c>
      <c r="C2" s="47"/>
      <c r="D2" s="47"/>
      <c r="E2" s="47"/>
      <c r="F2" s="47"/>
      <c r="G2" s="48"/>
    </row>
    <row r="4" spans="1:7" x14ac:dyDescent="0.45">
      <c r="A4" s="3" t="s">
        <v>1</v>
      </c>
      <c r="B4" s="4">
        <v>7</v>
      </c>
      <c r="C4" s="2" t="s">
        <v>5</v>
      </c>
      <c r="E4" s="8" t="s">
        <v>8</v>
      </c>
      <c r="F4" s="36">
        <f>Summary!B3+Summary!B4*ProjectF!B5</f>
        <v>0.18700000000000003</v>
      </c>
    </row>
    <row r="5" spans="1:7" x14ac:dyDescent="0.45">
      <c r="A5" s="3" t="s">
        <v>2</v>
      </c>
      <c r="B5" s="5">
        <v>2.1</v>
      </c>
      <c r="E5" s="8" t="s">
        <v>10</v>
      </c>
      <c r="F5" s="11">
        <f ca="1">B8+NPV(F4,OFFSET(B9:B33,0,0, $B$4, 1))</f>
        <v>10386.010194408373</v>
      </c>
    </row>
    <row r="6" spans="1:7" x14ac:dyDescent="0.45">
      <c r="E6" s="8" t="s">
        <v>9</v>
      </c>
      <c r="F6" s="10">
        <f>IFERROR(IRR(B8:B33, F7), "NO IRR")</f>
        <v>0.28674945434800159</v>
      </c>
    </row>
    <row r="7" spans="1:7" x14ac:dyDescent="0.45">
      <c r="A7" s="6" t="s">
        <v>3</v>
      </c>
      <c r="B7" s="6" t="s">
        <v>4</v>
      </c>
      <c r="E7" s="8" t="s">
        <v>7</v>
      </c>
      <c r="F7" s="10">
        <f>(SUM(B8:B33)/B4)/-B8</f>
        <v>0.23214285714285715</v>
      </c>
    </row>
    <row r="8" spans="1:7" x14ac:dyDescent="0.45">
      <c r="A8" s="3">
        <v>0</v>
      </c>
      <c r="B8" s="7">
        <v>-32000</v>
      </c>
    </row>
    <row r="9" spans="1:7" x14ac:dyDescent="0.45">
      <c r="A9" s="3">
        <f>A8+1</f>
        <v>1</v>
      </c>
      <c r="B9" s="7">
        <v>8000</v>
      </c>
    </row>
    <row r="10" spans="1:7" x14ac:dyDescent="0.45">
      <c r="A10" s="3">
        <f t="shared" ref="A10:A34" si="0">A9+1</f>
        <v>2</v>
      </c>
      <c r="B10" s="7">
        <v>12000</v>
      </c>
    </row>
    <row r="11" spans="1:7" x14ac:dyDescent="0.45">
      <c r="A11" s="3">
        <f t="shared" si="0"/>
        <v>3</v>
      </c>
      <c r="B11" s="7">
        <v>12000</v>
      </c>
    </row>
    <row r="12" spans="1:7" x14ac:dyDescent="0.45">
      <c r="A12" s="3">
        <f t="shared" si="0"/>
        <v>4</v>
      </c>
      <c r="B12" s="7">
        <v>12000</v>
      </c>
    </row>
    <row r="13" spans="1:7" x14ac:dyDescent="0.45">
      <c r="A13" s="3">
        <f t="shared" si="0"/>
        <v>5</v>
      </c>
      <c r="B13" s="7">
        <v>11000</v>
      </c>
    </row>
    <row r="14" spans="1:7" x14ac:dyDescent="0.45">
      <c r="A14" s="3">
        <f t="shared" si="0"/>
        <v>6</v>
      </c>
      <c r="B14" s="7">
        <v>9000</v>
      </c>
    </row>
    <row r="15" spans="1:7" x14ac:dyDescent="0.45">
      <c r="A15" s="3">
        <f t="shared" si="0"/>
        <v>7</v>
      </c>
      <c r="B15" s="7">
        <v>20000</v>
      </c>
    </row>
    <row r="16" spans="1:7" x14ac:dyDescent="0.45">
      <c r="A16" s="3">
        <f t="shared" si="0"/>
        <v>8</v>
      </c>
      <c r="B16" s="7"/>
    </row>
    <row r="17" spans="1:2" x14ac:dyDescent="0.45">
      <c r="A17" s="3">
        <f t="shared" si="0"/>
        <v>9</v>
      </c>
      <c r="B17" s="7"/>
    </row>
    <row r="18" spans="1:2" x14ac:dyDescent="0.45">
      <c r="A18" s="3">
        <f t="shared" si="0"/>
        <v>10</v>
      </c>
      <c r="B18" s="7"/>
    </row>
    <row r="19" spans="1:2" x14ac:dyDescent="0.45">
      <c r="A19" s="3">
        <f t="shared" si="0"/>
        <v>11</v>
      </c>
      <c r="B19" s="7"/>
    </row>
    <row r="20" spans="1:2" x14ac:dyDescent="0.45">
      <c r="A20" s="3">
        <f t="shared" si="0"/>
        <v>12</v>
      </c>
      <c r="B20" s="7"/>
    </row>
    <row r="21" spans="1:2" x14ac:dyDescent="0.45">
      <c r="A21" s="3">
        <f t="shared" si="0"/>
        <v>13</v>
      </c>
      <c r="B21" s="7"/>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17" priority="3" operator="greaterThan">
      <formula>$B$4</formula>
    </cfRule>
  </conditionalFormatting>
  <conditionalFormatting sqref="B8">
    <cfRule type="expression" dxfId="16" priority="2">
      <formula>A8&gt;$B$4</formula>
    </cfRule>
  </conditionalFormatting>
  <conditionalFormatting sqref="B9:B33">
    <cfRule type="expression" dxfId="15"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45</v>
      </c>
      <c r="C2" s="47"/>
      <c r="D2" s="47"/>
      <c r="E2" s="47"/>
      <c r="F2" s="47"/>
      <c r="G2" s="48"/>
    </row>
    <row r="4" spans="1:7" x14ac:dyDescent="0.45">
      <c r="A4" s="3" t="s">
        <v>1</v>
      </c>
      <c r="B4" s="4">
        <v>12</v>
      </c>
      <c r="C4" s="2" t="s">
        <v>5</v>
      </c>
      <c r="E4" s="8" t="s">
        <v>8</v>
      </c>
      <c r="F4" s="36">
        <f>Summary!B3+Summary!B4*ProjectG!B5</f>
        <v>0.10300000000000001</v>
      </c>
    </row>
    <row r="5" spans="1:7" x14ac:dyDescent="0.45">
      <c r="A5" s="3" t="s">
        <v>2</v>
      </c>
      <c r="B5" s="5">
        <v>0.9</v>
      </c>
      <c r="E5" s="8" t="s">
        <v>10</v>
      </c>
      <c r="F5" s="11">
        <f ca="1">B8+NPV(F4,OFFSET(B9:B33,0,0, $B$4, 1))</f>
        <v>-4029.0093362726257</v>
      </c>
    </row>
    <row r="6" spans="1:7" x14ac:dyDescent="0.45">
      <c r="E6" s="8" t="s">
        <v>9</v>
      </c>
      <c r="F6" s="10">
        <f>IFERROR(IRR(B8:B33, F7), "NO IRR")</f>
        <v>8.2725205275072211E-2</v>
      </c>
    </row>
    <row r="7" spans="1:7" x14ac:dyDescent="0.45">
      <c r="A7" s="6" t="s">
        <v>3</v>
      </c>
      <c r="B7" s="6" t="s">
        <v>4</v>
      </c>
      <c r="E7" s="8" t="s">
        <v>7</v>
      </c>
      <c r="F7" s="10">
        <f>(SUM(B8:B33)/B4)/-B8</f>
        <v>5.4166666666666662E-2</v>
      </c>
    </row>
    <row r="8" spans="1:7" x14ac:dyDescent="0.45">
      <c r="A8" s="3">
        <v>0</v>
      </c>
      <c r="B8" s="7">
        <v>-40000</v>
      </c>
    </row>
    <row r="9" spans="1:7" x14ac:dyDescent="0.45">
      <c r="A9" s="3">
        <f>A8+1</f>
        <v>1</v>
      </c>
      <c r="B9" s="7">
        <v>5000</v>
      </c>
    </row>
    <row r="10" spans="1:7" x14ac:dyDescent="0.45">
      <c r="A10" s="3">
        <f t="shared" ref="A10:A34" si="0">A9+1</f>
        <v>2</v>
      </c>
      <c r="B10" s="7">
        <v>5000</v>
      </c>
    </row>
    <row r="11" spans="1:7" x14ac:dyDescent="0.45">
      <c r="A11" s="3">
        <f t="shared" si="0"/>
        <v>3</v>
      </c>
      <c r="B11" s="7">
        <v>5000</v>
      </c>
    </row>
    <row r="12" spans="1:7" x14ac:dyDescent="0.45">
      <c r="A12" s="3">
        <f t="shared" si="0"/>
        <v>4</v>
      </c>
      <c r="B12" s="7">
        <v>5000</v>
      </c>
    </row>
    <row r="13" spans="1:7" x14ac:dyDescent="0.45">
      <c r="A13" s="3">
        <f t="shared" si="0"/>
        <v>5</v>
      </c>
      <c r="B13" s="7">
        <v>5000</v>
      </c>
    </row>
    <row r="14" spans="1:7" x14ac:dyDescent="0.45">
      <c r="A14" s="3">
        <f t="shared" si="0"/>
        <v>6</v>
      </c>
      <c r="B14" s="7">
        <v>5000</v>
      </c>
    </row>
    <row r="15" spans="1:7" x14ac:dyDescent="0.45">
      <c r="A15" s="3">
        <f t="shared" si="0"/>
        <v>7</v>
      </c>
      <c r="B15" s="7">
        <v>6000</v>
      </c>
    </row>
    <row r="16" spans="1:7" x14ac:dyDescent="0.45">
      <c r="A16" s="3">
        <f t="shared" si="0"/>
        <v>8</v>
      </c>
      <c r="B16" s="7">
        <v>6000</v>
      </c>
    </row>
    <row r="17" spans="1:2" x14ac:dyDescent="0.45">
      <c r="A17" s="3">
        <f t="shared" si="0"/>
        <v>9</v>
      </c>
      <c r="B17" s="7">
        <v>6000</v>
      </c>
    </row>
    <row r="18" spans="1:2" x14ac:dyDescent="0.45">
      <c r="A18" s="3">
        <f t="shared" si="0"/>
        <v>10</v>
      </c>
      <c r="B18" s="7">
        <v>6000</v>
      </c>
    </row>
    <row r="19" spans="1:2" x14ac:dyDescent="0.45">
      <c r="A19" s="3">
        <f t="shared" si="0"/>
        <v>11</v>
      </c>
      <c r="B19" s="7">
        <v>6000</v>
      </c>
    </row>
    <row r="20" spans="1:2" x14ac:dyDescent="0.45">
      <c r="A20" s="3">
        <f t="shared" si="0"/>
        <v>12</v>
      </c>
      <c r="B20" s="7">
        <v>6000</v>
      </c>
    </row>
    <row r="21" spans="1:2" x14ac:dyDescent="0.45">
      <c r="A21" s="3">
        <f t="shared" si="0"/>
        <v>13</v>
      </c>
      <c r="B21" s="7"/>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14" priority="3" operator="greaterThan">
      <formula>$B$4</formula>
    </cfRule>
  </conditionalFormatting>
  <conditionalFormatting sqref="B8">
    <cfRule type="expression" dxfId="13" priority="2">
      <formula>A8&gt;$B$4</formula>
    </cfRule>
  </conditionalFormatting>
  <conditionalFormatting sqref="B9:B33">
    <cfRule type="expression" dxfId="12"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44</v>
      </c>
      <c r="C2" s="47"/>
      <c r="D2" s="47"/>
      <c r="E2" s="47"/>
      <c r="F2" s="47"/>
      <c r="G2" s="48"/>
    </row>
    <row r="4" spans="1:7" x14ac:dyDescent="0.45">
      <c r="A4" s="3" t="s">
        <v>1</v>
      </c>
      <c r="B4" s="4">
        <v>13</v>
      </c>
      <c r="C4" s="2" t="s">
        <v>5</v>
      </c>
      <c r="E4" s="8" t="s">
        <v>8</v>
      </c>
      <c r="F4" s="36">
        <f>Summary!B3+Summary!B4*ProjectH!B5</f>
        <v>4.7E-2</v>
      </c>
    </row>
    <row r="5" spans="1:7" x14ac:dyDescent="0.45">
      <c r="A5" s="3" t="s">
        <v>2</v>
      </c>
      <c r="B5" s="5">
        <v>0.1</v>
      </c>
      <c r="E5" s="8" t="s">
        <v>10</v>
      </c>
      <c r="F5" s="11">
        <f ca="1">B8+NPV(F4,OFFSET(B9:B33,0,0, $B$4, 1))</f>
        <v>78483.410638966772</v>
      </c>
    </row>
    <row r="6" spans="1:7" x14ac:dyDescent="0.45">
      <c r="E6" s="8" t="s">
        <v>9</v>
      </c>
      <c r="F6" s="10">
        <f>IFERROR(IRR(B8:B33, F7), "NO IRR")</f>
        <v>0.21177113562717276</v>
      </c>
    </row>
    <row r="7" spans="1:7" x14ac:dyDescent="0.45">
      <c r="A7" s="6" t="s">
        <v>3</v>
      </c>
      <c r="B7" s="6" t="s">
        <v>4</v>
      </c>
      <c r="E7" s="8" t="s">
        <v>7</v>
      </c>
      <c r="F7" s="10">
        <f>(SUM(B8:B33)/B4)/-B8</f>
        <v>0.15384615384615385</v>
      </c>
    </row>
    <row r="8" spans="1:7" x14ac:dyDescent="0.45">
      <c r="A8" s="3">
        <v>0</v>
      </c>
      <c r="B8" s="7">
        <v>-65000</v>
      </c>
    </row>
    <row r="9" spans="1:7" x14ac:dyDescent="0.45">
      <c r="A9" s="3">
        <f>A8+1</f>
        <v>1</v>
      </c>
      <c r="B9" s="7">
        <v>15000</v>
      </c>
    </row>
    <row r="10" spans="1:7" x14ac:dyDescent="0.45">
      <c r="A10" s="3">
        <f t="shared" ref="A10:A34" si="0">A9+1</f>
        <v>2</v>
      </c>
      <c r="B10" s="7">
        <v>15000</v>
      </c>
    </row>
    <row r="11" spans="1:7" x14ac:dyDescent="0.45">
      <c r="A11" s="3">
        <f t="shared" si="0"/>
        <v>3</v>
      </c>
      <c r="B11" s="7">
        <v>15000</v>
      </c>
    </row>
    <row r="12" spans="1:7" x14ac:dyDescent="0.45">
      <c r="A12" s="3">
        <f t="shared" si="0"/>
        <v>4</v>
      </c>
      <c r="B12" s="7">
        <v>15000</v>
      </c>
    </row>
    <row r="13" spans="1:7" x14ac:dyDescent="0.45">
      <c r="A13" s="3">
        <f t="shared" si="0"/>
        <v>5</v>
      </c>
      <c r="B13" s="7">
        <v>15000</v>
      </c>
    </row>
    <row r="14" spans="1:7" x14ac:dyDescent="0.45">
      <c r="A14" s="3">
        <f t="shared" si="0"/>
        <v>6</v>
      </c>
      <c r="B14" s="7">
        <v>15000</v>
      </c>
    </row>
    <row r="15" spans="1:7" x14ac:dyDescent="0.45">
      <c r="A15" s="3">
        <f t="shared" si="0"/>
        <v>7</v>
      </c>
      <c r="B15" s="7">
        <v>15000</v>
      </c>
    </row>
    <row r="16" spans="1:7" x14ac:dyDescent="0.45">
      <c r="A16" s="3">
        <f t="shared" si="0"/>
        <v>8</v>
      </c>
      <c r="B16" s="7">
        <v>15000</v>
      </c>
    </row>
    <row r="17" spans="1:2" x14ac:dyDescent="0.45">
      <c r="A17" s="3">
        <f t="shared" si="0"/>
        <v>9</v>
      </c>
      <c r="B17" s="7">
        <v>15000</v>
      </c>
    </row>
    <row r="18" spans="1:2" x14ac:dyDescent="0.45">
      <c r="A18" s="3">
        <f t="shared" si="0"/>
        <v>10</v>
      </c>
      <c r="B18" s="7">
        <v>15000</v>
      </c>
    </row>
    <row r="19" spans="1:2" x14ac:dyDescent="0.45">
      <c r="A19" s="3">
        <f t="shared" si="0"/>
        <v>11</v>
      </c>
      <c r="B19" s="7">
        <v>15000</v>
      </c>
    </row>
    <row r="20" spans="1:2" x14ac:dyDescent="0.45">
      <c r="A20" s="3">
        <f t="shared" si="0"/>
        <v>12</v>
      </c>
      <c r="B20" s="7">
        <v>15000</v>
      </c>
    </row>
    <row r="21" spans="1:2" x14ac:dyDescent="0.45">
      <c r="A21" s="3">
        <f t="shared" si="0"/>
        <v>13</v>
      </c>
      <c r="B21" s="7">
        <v>15000</v>
      </c>
    </row>
    <row r="22" spans="1:2" x14ac:dyDescent="0.45">
      <c r="A22" s="3">
        <f t="shared" si="0"/>
        <v>14</v>
      </c>
      <c r="B22" s="7"/>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11" priority="3" operator="greaterThan">
      <formula>$B$4</formula>
    </cfRule>
  </conditionalFormatting>
  <conditionalFormatting sqref="B8">
    <cfRule type="expression" dxfId="10" priority="2">
      <formula>A8&gt;$B$4</formula>
    </cfRule>
  </conditionalFormatting>
  <conditionalFormatting sqref="B9:B33">
    <cfRule type="expression" dxfId="9"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43</v>
      </c>
      <c r="C2" s="47"/>
      <c r="D2" s="47"/>
      <c r="E2" s="47"/>
      <c r="F2" s="47"/>
      <c r="G2" s="48"/>
    </row>
    <row r="4" spans="1:7" x14ac:dyDescent="0.45">
      <c r="A4" s="3" t="s">
        <v>1</v>
      </c>
      <c r="B4" s="4">
        <v>15</v>
      </c>
      <c r="C4" s="2" t="s">
        <v>5</v>
      </c>
      <c r="E4" s="8" t="s">
        <v>8</v>
      </c>
      <c r="F4" s="36">
        <f>Summary!B3+Summary!B4*ProjectI!B5</f>
        <v>0.159</v>
      </c>
    </row>
    <row r="5" spans="1:7" x14ac:dyDescent="0.45">
      <c r="A5" s="3" t="s">
        <v>2</v>
      </c>
      <c r="B5" s="5">
        <v>1.7</v>
      </c>
      <c r="E5" s="8" t="s">
        <v>10</v>
      </c>
      <c r="F5" s="11">
        <f ca="1">B8+NPV(F4,OFFSET(B9:B33,0,0, $B$4, 1))</f>
        <v>-1740.9457646437513</v>
      </c>
    </row>
    <row r="6" spans="1:7" x14ac:dyDescent="0.45">
      <c r="E6" s="8" t="s">
        <v>9</v>
      </c>
      <c r="F6" s="10">
        <f>IFERROR(IRR(B8:B33, F7), "NO IRR")</f>
        <v>0.15442677406215499</v>
      </c>
    </row>
    <row r="7" spans="1:7" x14ac:dyDescent="0.45">
      <c r="A7" s="6" t="s">
        <v>3</v>
      </c>
      <c r="B7" s="6" t="s">
        <v>4</v>
      </c>
      <c r="E7" s="8" t="s">
        <v>7</v>
      </c>
      <c r="F7" s="10">
        <f>(SUM(B8:B33)/B4)/-B8</f>
        <v>0.12857142857142856</v>
      </c>
    </row>
    <row r="8" spans="1:7" x14ac:dyDescent="0.45">
      <c r="A8" s="3">
        <v>0</v>
      </c>
      <c r="B8" s="7">
        <v>-70000</v>
      </c>
    </row>
    <row r="9" spans="1:7" x14ac:dyDescent="0.45">
      <c r="A9" s="3">
        <f>A8+1</f>
        <v>1</v>
      </c>
      <c r="B9" s="7">
        <v>5000</v>
      </c>
    </row>
    <row r="10" spans="1:7" x14ac:dyDescent="0.45">
      <c r="A10" s="3">
        <f t="shared" ref="A10:A34" si="0">A9+1</f>
        <v>2</v>
      </c>
      <c r="B10" s="7">
        <v>8000</v>
      </c>
    </row>
    <row r="11" spans="1:7" x14ac:dyDescent="0.45">
      <c r="A11" s="3">
        <f t="shared" si="0"/>
        <v>3</v>
      </c>
      <c r="B11" s="7">
        <v>12000</v>
      </c>
    </row>
    <row r="12" spans="1:7" x14ac:dyDescent="0.45">
      <c r="A12" s="3">
        <f t="shared" si="0"/>
        <v>4</v>
      </c>
      <c r="B12" s="7">
        <v>15000</v>
      </c>
    </row>
    <row r="13" spans="1:7" x14ac:dyDescent="0.45">
      <c r="A13" s="3">
        <f t="shared" si="0"/>
        <v>5</v>
      </c>
      <c r="B13" s="7">
        <v>15000</v>
      </c>
    </row>
    <row r="14" spans="1:7" x14ac:dyDescent="0.45">
      <c r="A14" s="3">
        <f t="shared" si="0"/>
        <v>6</v>
      </c>
      <c r="B14" s="7">
        <v>15000</v>
      </c>
    </row>
    <row r="15" spans="1:7" x14ac:dyDescent="0.45">
      <c r="A15" s="3">
        <f t="shared" si="0"/>
        <v>7</v>
      </c>
      <c r="B15" s="7">
        <v>15000</v>
      </c>
    </row>
    <row r="16" spans="1:7" x14ac:dyDescent="0.45">
      <c r="A16" s="3">
        <f t="shared" si="0"/>
        <v>8</v>
      </c>
      <c r="B16" s="7">
        <v>15000</v>
      </c>
    </row>
    <row r="17" spans="1:2" x14ac:dyDescent="0.45">
      <c r="A17" s="3">
        <f t="shared" si="0"/>
        <v>9</v>
      </c>
      <c r="B17" s="7">
        <v>15000</v>
      </c>
    </row>
    <row r="18" spans="1:2" x14ac:dyDescent="0.45">
      <c r="A18" s="3">
        <f t="shared" si="0"/>
        <v>10</v>
      </c>
      <c r="B18" s="7">
        <v>15000</v>
      </c>
    </row>
    <row r="19" spans="1:2" x14ac:dyDescent="0.45">
      <c r="A19" s="3">
        <f t="shared" si="0"/>
        <v>11</v>
      </c>
      <c r="B19" s="7">
        <v>15000</v>
      </c>
    </row>
    <row r="20" spans="1:2" x14ac:dyDescent="0.45">
      <c r="A20" s="3">
        <f t="shared" si="0"/>
        <v>12</v>
      </c>
      <c r="B20" s="7">
        <v>15000</v>
      </c>
    </row>
    <row r="21" spans="1:2" x14ac:dyDescent="0.45">
      <c r="A21" s="3">
        <f t="shared" si="0"/>
        <v>13</v>
      </c>
      <c r="B21" s="7">
        <v>15000</v>
      </c>
    </row>
    <row r="22" spans="1:2" x14ac:dyDescent="0.45">
      <c r="A22" s="3">
        <f t="shared" si="0"/>
        <v>14</v>
      </c>
      <c r="B22" s="7">
        <v>15000</v>
      </c>
    </row>
    <row r="23" spans="1:2" x14ac:dyDescent="0.45">
      <c r="A23" s="3">
        <f t="shared" si="0"/>
        <v>15</v>
      </c>
      <c r="B23" s="7">
        <v>15000</v>
      </c>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8" priority="3" operator="greaterThan">
      <formula>$B$4</formula>
    </cfRule>
  </conditionalFormatting>
  <conditionalFormatting sqref="B8">
    <cfRule type="expression" dxfId="7" priority="2">
      <formula>A8&gt;$B$4</formula>
    </cfRule>
  </conditionalFormatting>
  <conditionalFormatting sqref="B9:B33">
    <cfRule type="expression" dxfId="6"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34"/>
  <sheetViews>
    <sheetView showGridLines="0" workbookViewId="0">
      <selection activeCell="F4" sqref="F4"/>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42</v>
      </c>
      <c r="C2" s="47"/>
      <c r="D2" s="47"/>
      <c r="E2" s="47"/>
      <c r="F2" s="47"/>
      <c r="G2" s="48"/>
    </row>
    <row r="4" spans="1:7" x14ac:dyDescent="0.45">
      <c r="A4" s="3" t="s">
        <v>1</v>
      </c>
      <c r="B4" s="4">
        <v>14</v>
      </c>
      <c r="C4" s="2" t="s">
        <v>5</v>
      </c>
      <c r="E4" s="8" t="s">
        <v>8</v>
      </c>
      <c r="F4" s="36">
        <f>Summary!B3+Summary!B4*ProjectJ!B5</f>
        <v>0.14500000000000002</v>
      </c>
    </row>
    <row r="5" spans="1:7" x14ac:dyDescent="0.45">
      <c r="A5" s="3" t="s">
        <v>2</v>
      </c>
      <c r="B5" s="5">
        <v>1.5</v>
      </c>
      <c r="E5" s="8" t="s">
        <v>10</v>
      </c>
      <c r="F5" s="11">
        <f ca="1">B8+NPV(F4,OFFSET(B9:B33,0,0, $B$4, 1))</f>
        <v>25105.229067924061</v>
      </c>
    </row>
    <row r="6" spans="1:7" x14ac:dyDescent="0.45">
      <c r="E6" s="8" t="s">
        <v>9</v>
      </c>
      <c r="F6" s="10">
        <f>IFERROR(IRR(B8:B33, F7), "NO IRR")</f>
        <v>0.30717650090435833</v>
      </c>
    </row>
    <row r="7" spans="1:7" x14ac:dyDescent="0.45">
      <c r="A7" s="6" t="s">
        <v>3</v>
      </c>
      <c r="B7" s="6" t="s">
        <v>4</v>
      </c>
      <c r="E7" s="8" t="s">
        <v>7</v>
      </c>
      <c r="F7" s="10">
        <f>(SUM(B8:B33)/B4)/-B8</f>
        <v>0.2095238095238095</v>
      </c>
    </row>
    <row r="8" spans="1:7" x14ac:dyDescent="0.45">
      <c r="A8" s="3">
        <v>0</v>
      </c>
      <c r="B8" s="7">
        <v>-30000</v>
      </c>
    </row>
    <row r="9" spans="1:7" x14ac:dyDescent="0.45">
      <c r="A9" s="3">
        <f>A8+1</f>
        <v>1</v>
      </c>
      <c r="B9" s="7">
        <v>2000</v>
      </c>
    </row>
    <row r="10" spans="1:7" x14ac:dyDescent="0.45">
      <c r="A10" s="3">
        <f t="shared" ref="A10:A34" si="0">A9+1</f>
        <v>2</v>
      </c>
      <c r="B10" s="7">
        <v>3000</v>
      </c>
    </row>
    <row r="11" spans="1:7" x14ac:dyDescent="0.45">
      <c r="A11" s="3">
        <f t="shared" si="0"/>
        <v>3</v>
      </c>
      <c r="B11" s="7">
        <v>23000</v>
      </c>
    </row>
    <row r="12" spans="1:7" x14ac:dyDescent="0.45">
      <c r="A12" s="3">
        <f t="shared" si="0"/>
        <v>4</v>
      </c>
      <c r="B12" s="7">
        <v>20000</v>
      </c>
    </row>
    <row r="13" spans="1:7" x14ac:dyDescent="0.45">
      <c r="A13" s="3">
        <f t="shared" si="0"/>
        <v>5</v>
      </c>
      <c r="B13" s="7">
        <v>14000</v>
      </c>
    </row>
    <row r="14" spans="1:7" x14ac:dyDescent="0.45">
      <c r="A14" s="3">
        <f t="shared" si="0"/>
        <v>6</v>
      </c>
      <c r="B14" s="7">
        <v>12000</v>
      </c>
    </row>
    <row r="15" spans="1:7" x14ac:dyDescent="0.45">
      <c r="A15" s="3">
        <f t="shared" si="0"/>
        <v>7</v>
      </c>
      <c r="B15" s="7">
        <v>9000</v>
      </c>
    </row>
    <row r="16" spans="1:7" x14ac:dyDescent="0.45">
      <c r="A16" s="3">
        <f t="shared" si="0"/>
        <v>8</v>
      </c>
      <c r="B16" s="7">
        <v>5000</v>
      </c>
    </row>
    <row r="17" spans="1:2" x14ac:dyDescent="0.45">
      <c r="A17" s="3">
        <f t="shared" si="0"/>
        <v>9</v>
      </c>
      <c r="B17" s="7">
        <v>5000</v>
      </c>
    </row>
    <row r="18" spans="1:2" x14ac:dyDescent="0.45">
      <c r="A18" s="3">
        <f t="shared" si="0"/>
        <v>10</v>
      </c>
      <c r="B18" s="7">
        <v>5000</v>
      </c>
    </row>
    <row r="19" spans="1:2" x14ac:dyDescent="0.45">
      <c r="A19" s="3">
        <f t="shared" si="0"/>
        <v>11</v>
      </c>
      <c r="B19" s="7">
        <v>5000</v>
      </c>
    </row>
    <row r="20" spans="1:2" x14ac:dyDescent="0.45">
      <c r="A20" s="3">
        <f t="shared" si="0"/>
        <v>12</v>
      </c>
      <c r="B20" s="7">
        <v>5000</v>
      </c>
    </row>
    <row r="21" spans="1:2" x14ac:dyDescent="0.45">
      <c r="A21" s="3">
        <f t="shared" si="0"/>
        <v>13</v>
      </c>
      <c r="B21" s="7">
        <v>5000</v>
      </c>
    </row>
    <row r="22" spans="1:2" x14ac:dyDescent="0.45">
      <c r="A22" s="3">
        <f t="shared" si="0"/>
        <v>14</v>
      </c>
      <c r="B22" s="7">
        <v>5000</v>
      </c>
    </row>
    <row r="23" spans="1:2" x14ac:dyDescent="0.45">
      <c r="A23" s="3">
        <f t="shared" si="0"/>
        <v>15</v>
      </c>
      <c r="B23" s="7"/>
    </row>
    <row r="24" spans="1:2" x14ac:dyDescent="0.45">
      <c r="A24" s="3">
        <f t="shared" si="0"/>
        <v>16</v>
      </c>
      <c r="B24" s="7"/>
    </row>
    <row r="25" spans="1:2" x14ac:dyDescent="0.45">
      <c r="A25" s="3">
        <f t="shared" si="0"/>
        <v>17</v>
      </c>
      <c r="B25" s="7"/>
    </row>
    <row r="26" spans="1:2" x14ac:dyDescent="0.45">
      <c r="A26" s="3">
        <f t="shared" si="0"/>
        <v>18</v>
      </c>
      <c r="B26" s="7"/>
    </row>
    <row r="27" spans="1:2" x14ac:dyDescent="0.45">
      <c r="A27" s="3">
        <f t="shared" si="0"/>
        <v>19</v>
      </c>
      <c r="B27" s="7"/>
    </row>
    <row r="28" spans="1:2" x14ac:dyDescent="0.45">
      <c r="A28" s="3">
        <f t="shared" si="0"/>
        <v>20</v>
      </c>
      <c r="B28" s="7"/>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5" priority="3" operator="greaterThan">
      <formula>$B$4</formula>
    </cfRule>
  </conditionalFormatting>
  <conditionalFormatting sqref="B8">
    <cfRule type="expression" dxfId="4" priority="2">
      <formula>A8&gt;$B$4</formula>
    </cfRule>
  </conditionalFormatting>
  <conditionalFormatting sqref="B9:B33">
    <cfRule type="expression" dxfId="3" priority="1">
      <formula>A9&gt;$B$4</formula>
    </cfRule>
  </conditionalFormatting>
  <hyperlinks>
    <hyperlink ref="A1" location="Summary!A1" display="Summary"/>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34"/>
  <sheetViews>
    <sheetView showGridLines="0" workbookViewId="0">
      <selection activeCell="I23" sqref="I23"/>
    </sheetView>
  </sheetViews>
  <sheetFormatPr defaultColWidth="9.1328125" defaultRowHeight="14.25" x14ac:dyDescent="0.45"/>
  <cols>
    <col min="1" max="1" width="10.3984375" style="2" customWidth="1"/>
    <col min="2" max="2" width="11.53125" style="2" bestFit="1" customWidth="1"/>
    <col min="3" max="3" width="4.86328125" style="2" bestFit="1" customWidth="1"/>
    <col min="4" max="4" width="9.1328125" style="2"/>
    <col min="5" max="5" width="21.53125" style="2" bestFit="1" customWidth="1"/>
    <col min="6" max="6" width="11.46484375" style="2" bestFit="1" customWidth="1"/>
    <col min="7" max="16384" width="9.1328125" style="2"/>
  </cols>
  <sheetData>
    <row r="1" spans="1:7" x14ac:dyDescent="0.45">
      <c r="A1" s="12" t="s">
        <v>0</v>
      </c>
    </row>
    <row r="2" spans="1:7" x14ac:dyDescent="0.45">
      <c r="B2" s="47" t="s">
        <v>41</v>
      </c>
      <c r="C2" s="47"/>
      <c r="D2" s="47"/>
      <c r="E2" s="47"/>
      <c r="F2" s="47"/>
      <c r="G2" s="48"/>
    </row>
    <row r="4" spans="1:7" x14ac:dyDescent="0.45">
      <c r="A4" s="3" t="s">
        <v>1</v>
      </c>
      <c r="B4" s="4">
        <v>20</v>
      </c>
      <c r="C4" s="2" t="s">
        <v>5</v>
      </c>
      <c r="E4" s="8" t="s">
        <v>8</v>
      </c>
      <c r="F4" s="36">
        <f>Summary!B3+Summary!B4*ProjectK!B5</f>
        <v>8.2000000000000003E-2</v>
      </c>
    </row>
    <row r="5" spans="1:7" x14ac:dyDescent="0.45">
      <c r="A5" s="3" t="s">
        <v>2</v>
      </c>
      <c r="B5" s="5">
        <v>0.6</v>
      </c>
      <c r="E5" s="8" t="s">
        <v>10</v>
      </c>
      <c r="F5" s="11">
        <f ca="1">B8+NPV(F4,OFFSET(B9:B33,0,0, $B$4, 1))</f>
        <v>22389.813523163903</v>
      </c>
    </row>
    <row r="6" spans="1:7" x14ac:dyDescent="0.45">
      <c r="E6" s="8" t="s">
        <v>9</v>
      </c>
      <c r="F6" s="10">
        <f>IFERROR(IRR(B8:B33, F7), "NO IRR")</f>
        <v>0.13361222246151949</v>
      </c>
    </row>
    <row r="7" spans="1:7" x14ac:dyDescent="0.45">
      <c r="A7" s="6" t="s">
        <v>3</v>
      </c>
      <c r="B7" s="6" t="s">
        <v>4</v>
      </c>
      <c r="E7" s="8" t="s">
        <v>7</v>
      </c>
      <c r="F7" s="10">
        <f>(SUM(B8:B33)/B4)/-B8</f>
        <v>9.5454545454545459E-2</v>
      </c>
    </row>
    <row r="8" spans="1:7" x14ac:dyDescent="0.45">
      <c r="A8" s="3">
        <v>0</v>
      </c>
      <c r="B8" s="7">
        <v>-55000</v>
      </c>
    </row>
    <row r="9" spans="1:7" x14ac:dyDescent="0.45">
      <c r="A9" s="3">
        <f>A8+1</f>
        <v>1</v>
      </c>
      <c r="B9" s="7">
        <v>8000</v>
      </c>
    </row>
    <row r="10" spans="1:7" x14ac:dyDescent="0.45">
      <c r="A10" s="3">
        <f t="shared" ref="A10:A34" si="0">A9+1</f>
        <v>2</v>
      </c>
      <c r="B10" s="7">
        <v>8000</v>
      </c>
    </row>
    <row r="11" spans="1:7" x14ac:dyDescent="0.45">
      <c r="A11" s="3">
        <f t="shared" si="0"/>
        <v>3</v>
      </c>
      <c r="B11" s="7">
        <v>8000</v>
      </c>
    </row>
    <row r="12" spans="1:7" x14ac:dyDescent="0.45">
      <c r="A12" s="3">
        <f t="shared" si="0"/>
        <v>4</v>
      </c>
      <c r="B12" s="7">
        <v>8000</v>
      </c>
    </row>
    <row r="13" spans="1:7" x14ac:dyDescent="0.45">
      <c r="A13" s="3">
        <f t="shared" si="0"/>
        <v>5</v>
      </c>
      <c r="B13" s="7">
        <v>8000</v>
      </c>
    </row>
    <row r="14" spans="1:7" x14ac:dyDescent="0.45">
      <c r="A14" s="3">
        <f t="shared" si="0"/>
        <v>6</v>
      </c>
      <c r="B14" s="7">
        <v>8000</v>
      </c>
    </row>
    <row r="15" spans="1:7" x14ac:dyDescent="0.45">
      <c r="A15" s="3">
        <f t="shared" si="0"/>
        <v>7</v>
      </c>
      <c r="B15" s="7">
        <v>8000</v>
      </c>
    </row>
    <row r="16" spans="1:7" x14ac:dyDescent="0.45">
      <c r="A16" s="3">
        <f t="shared" si="0"/>
        <v>8</v>
      </c>
      <c r="B16" s="7">
        <v>8000</v>
      </c>
    </row>
    <row r="17" spans="1:2" x14ac:dyDescent="0.45">
      <c r="A17" s="3">
        <f t="shared" si="0"/>
        <v>9</v>
      </c>
      <c r="B17" s="7">
        <v>8000</v>
      </c>
    </row>
    <row r="18" spans="1:2" x14ac:dyDescent="0.45">
      <c r="A18" s="3">
        <f t="shared" si="0"/>
        <v>10</v>
      </c>
      <c r="B18" s="7">
        <v>8000</v>
      </c>
    </row>
    <row r="19" spans="1:2" x14ac:dyDescent="0.45">
      <c r="A19" s="3">
        <f t="shared" si="0"/>
        <v>11</v>
      </c>
      <c r="B19" s="7">
        <v>8000</v>
      </c>
    </row>
    <row r="20" spans="1:2" x14ac:dyDescent="0.45">
      <c r="A20" s="3">
        <f t="shared" si="0"/>
        <v>12</v>
      </c>
      <c r="B20" s="7">
        <v>8000</v>
      </c>
    </row>
    <row r="21" spans="1:2" x14ac:dyDescent="0.45">
      <c r="A21" s="3">
        <f t="shared" si="0"/>
        <v>13</v>
      </c>
      <c r="B21" s="7">
        <v>8000</v>
      </c>
    </row>
    <row r="22" spans="1:2" x14ac:dyDescent="0.45">
      <c r="A22" s="3">
        <f t="shared" si="0"/>
        <v>14</v>
      </c>
      <c r="B22" s="7">
        <v>8000</v>
      </c>
    </row>
    <row r="23" spans="1:2" x14ac:dyDescent="0.45">
      <c r="A23" s="3">
        <f t="shared" si="0"/>
        <v>15</v>
      </c>
      <c r="B23" s="7">
        <v>8000</v>
      </c>
    </row>
    <row r="24" spans="1:2" x14ac:dyDescent="0.45">
      <c r="A24" s="3">
        <f t="shared" si="0"/>
        <v>16</v>
      </c>
      <c r="B24" s="7">
        <v>8000</v>
      </c>
    </row>
    <row r="25" spans="1:2" x14ac:dyDescent="0.45">
      <c r="A25" s="3">
        <f t="shared" si="0"/>
        <v>17</v>
      </c>
      <c r="B25" s="7">
        <v>8000</v>
      </c>
    </row>
    <row r="26" spans="1:2" x14ac:dyDescent="0.45">
      <c r="A26" s="3">
        <f t="shared" si="0"/>
        <v>18</v>
      </c>
      <c r="B26" s="7">
        <v>8000</v>
      </c>
    </row>
    <row r="27" spans="1:2" x14ac:dyDescent="0.45">
      <c r="A27" s="3">
        <f t="shared" si="0"/>
        <v>19</v>
      </c>
      <c r="B27" s="7">
        <v>8000</v>
      </c>
    </row>
    <row r="28" spans="1:2" x14ac:dyDescent="0.45">
      <c r="A28" s="3">
        <f t="shared" si="0"/>
        <v>20</v>
      </c>
      <c r="B28" s="7">
        <v>8000</v>
      </c>
    </row>
    <row r="29" spans="1:2" x14ac:dyDescent="0.45">
      <c r="A29" s="3">
        <f t="shared" si="0"/>
        <v>21</v>
      </c>
      <c r="B29" s="7"/>
    </row>
    <row r="30" spans="1:2" x14ac:dyDescent="0.45">
      <c r="A30" s="3">
        <f t="shared" si="0"/>
        <v>22</v>
      </c>
      <c r="B30" s="7"/>
    </row>
    <row r="31" spans="1:2" x14ac:dyDescent="0.45">
      <c r="A31" s="3">
        <f t="shared" si="0"/>
        <v>23</v>
      </c>
      <c r="B31" s="7"/>
    </row>
    <row r="32" spans="1:2" x14ac:dyDescent="0.45">
      <c r="A32" s="3">
        <f t="shared" si="0"/>
        <v>24</v>
      </c>
      <c r="B32" s="7"/>
    </row>
    <row r="33" spans="1:2" x14ac:dyDescent="0.45">
      <c r="A33" s="3">
        <f t="shared" si="0"/>
        <v>25</v>
      </c>
      <c r="B33" s="7"/>
    </row>
    <row r="34" spans="1:2" x14ac:dyDescent="0.45">
      <c r="A34" s="3">
        <f t="shared" si="0"/>
        <v>26</v>
      </c>
    </row>
  </sheetData>
  <mergeCells count="1">
    <mergeCell ref="B2:G2"/>
  </mergeCells>
  <conditionalFormatting sqref="A8:A34">
    <cfRule type="cellIs" dxfId="2" priority="3" operator="greaterThan">
      <formula>$B$4</formula>
    </cfRule>
  </conditionalFormatting>
  <conditionalFormatting sqref="B8">
    <cfRule type="expression" dxfId="1" priority="2">
      <formula>A8&gt;$B$4</formula>
    </cfRule>
  </conditionalFormatting>
  <conditionalFormatting sqref="B9:B33">
    <cfRule type="expression" dxfId="0" priority="1">
      <formula>A9&gt;$B$4</formula>
    </cfRule>
  </conditionalFormatting>
  <hyperlinks>
    <hyperlink ref="A1" location="Summary!A1" display="Summary"/>
  </hyperlink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20</vt:i4>
      </vt:variant>
    </vt:vector>
  </HeadingPairs>
  <TitlesOfParts>
    <vt:vector size="34" baseType="lpstr">
      <vt:lpstr>User Guide</vt:lpstr>
      <vt:lpstr>Summary</vt:lpstr>
      <vt:lpstr>NPV Profile</vt:lpstr>
      <vt:lpstr>ProjectA</vt:lpstr>
      <vt:lpstr>ProjectB</vt:lpstr>
      <vt:lpstr>ProjectC</vt:lpstr>
      <vt:lpstr>ProjectD</vt:lpstr>
      <vt:lpstr>ProjectE</vt:lpstr>
      <vt:lpstr>ProjectF</vt:lpstr>
      <vt:lpstr>ProjectG</vt:lpstr>
      <vt:lpstr>ProjectH</vt:lpstr>
      <vt:lpstr>ProjectI</vt:lpstr>
      <vt:lpstr>ProjectJ</vt:lpstr>
      <vt:lpstr>ProjectK</vt:lpstr>
      <vt:lpstr>MaxB</vt:lpstr>
      <vt:lpstr>Maxinvest</vt:lpstr>
      <vt:lpstr>MinB</vt:lpstr>
      <vt:lpstr>Mininvest</vt:lpstr>
      <vt:lpstr>mut_one</vt:lpstr>
      <vt:lpstr>mutconst</vt:lpstr>
      <vt:lpstr>Pro_1</vt:lpstr>
      <vt:lpstr>Pro_10</vt:lpstr>
      <vt:lpstr>Pro_11</vt:lpstr>
      <vt:lpstr>Pro_2</vt:lpstr>
      <vt:lpstr>Pro_3</vt:lpstr>
      <vt:lpstr>Pro_4</vt:lpstr>
      <vt:lpstr>Pro_5</vt:lpstr>
      <vt:lpstr>Pro_6</vt:lpstr>
      <vt:lpstr>Pro_7</vt:lpstr>
      <vt:lpstr>Pro_8</vt:lpstr>
      <vt:lpstr>Pro_9</vt:lpstr>
      <vt:lpstr>totalB</vt:lpstr>
      <vt:lpstr>TotalInv</vt:lpstr>
      <vt:lpstr>TotalNPV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2024-03-18T01:34:41Z</dcterms:modified>
</cp:coreProperties>
</file>