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User Guide" sheetId="1" r:id="rId1"/>
    <sheet name="Forecasting Model" sheetId="2" r:id="rId2"/>
  </sheets>
  <definedNames>
    <definedName name="solver_adj" localSheetId="1" hidden="1">'Forecasting Model'!$AI$58</definedName>
    <definedName name="solver_cvg" localSheetId="1" hidden="1">0.0001</definedName>
    <definedName name="solver_drv" localSheetId="1" hidden="1">2</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'Forecasting Model'!$AI$60</definedName>
    <definedName name="solver_pre" localSheetId="1" hidden="1">0.000001</definedName>
    <definedName name="solver_rbv" localSheetId="1" hidden="1">2</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0.34</definedName>
    <definedName name="solver_ver" localSheetId="1" hidden="1">3</definedName>
  </definedNames>
  <calcPr calcId="152511" iterate="1" iterateCount="1000"/>
</workbook>
</file>

<file path=xl/calcChain.xml><?xml version="1.0" encoding="utf-8"?>
<calcChain xmlns="http://schemas.openxmlformats.org/spreadsheetml/2006/main">
  <c r="C5" i="2" l="1"/>
  <c r="D5" i="2"/>
  <c r="E5" i="2"/>
  <c r="F5" i="2"/>
  <c r="G5" i="2"/>
  <c r="C10" i="2"/>
  <c r="C11" i="2"/>
  <c r="B12" i="2"/>
  <c r="B18" i="2" s="1"/>
  <c r="B20" i="2" s="1"/>
  <c r="B22" i="2" s="1"/>
  <c r="B24" i="2" s="1"/>
  <c r="C13" i="2"/>
  <c r="C14" i="2"/>
  <c r="C15" i="2"/>
  <c r="C16" i="2"/>
  <c r="C17" i="2"/>
  <c r="C19" i="2"/>
  <c r="C21" i="2"/>
  <c r="C23" i="2"/>
  <c r="C28" i="2"/>
  <c r="C29" i="2"/>
  <c r="C30" i="2"/>
  <c r="B31" i="2"/>
  <c r="B35" i="2" s="1"/>
  <c r="B45" i="2" s="1"/>
  <c r="B44" i="2" s="1"/>
  <c r="B42" i="2" s="1"/>
  <c r="B32" i="2"/>
  <c r="C33" i="2"/>
  <c r="C34" i="2"/>
  <c r="C37" i="2"/>
  <c r="C38" i="2"/>
  <c r="B39" i="2"/>
  <c r="C40" i="2"/>
  <c r="B41" i="2"/>
  <c r="C43" i="2"/>
  <c r="C47" i="2"/>
  <c r="C51" i="2"/>
  <c r="D51" i="2"/>
  <c r="E51" i="2"/>
  <c r="F51" i="2"/>
  <c r="G51" i="2"/>
  <c r="C54" i="2"/>
  <c r="C55" i="2"/>
  <c r="C56" i="2"/>
  <c r="A60" i="2"/>
  <c r="D60" i="2"/>
  <c r="A61" i="2"/>
  <c r="D61" i="2"/>
  <c r="A62" i="2"/>
  <c r="D62" i="2"/>
  <c r="A63" i="2"/>
  <c r="D63" i="2"/>
  <c r="A64" i="2"/>
  <c r="D64" i="2"/>
  <c r="A69" i="2"/>
  <c r="G69" i="2"/>
  <c r="A70" i="2"/>
  <c r="G70" i="2"/>
  <c r="A71" i="2"/>
  <c r="G71" i="2"/>
  <c r="A72" i="2"/>
  <c r="G72" i="2"/>
  <c r="A73" i="2"/>
  <c r="G73" i="2"/>
  <c r="A74" i="2"/>
  <c r="G74" i="2"/>
  <c r="A75" i="2"/>
  <c r="G75" i="2"/>
  <c r="A76" i="2"/>
  <c r="G76" i="2"/>
  <c r="C80" i="2"/>
  <c r="C81" i="2"/>
  <c r="C82" i="2"/>
  <c r="C83" i="2"/>
  <c r="C84" i="2"/>
  <c r="C85" i="2"/>
  <c r="A90" i="2"/>
  <c r="D90" i="2"/>
  <c r="A91" i="2"/>
  <c r="D91" i="2"/>
  <c r="A92" i="2"/>
  <c r="D92" i="2"/>
  <c r="A93" i="2"/>
  <c r="D93" i="2"/>
  <c r="A94" i="2"/>
  <c r="D94" i="2"/>
  <c r="C98" i="2"/>
  <c r="C99" i="2"/>
  <c r="C100" i="2"/>
  <c r="C101" i="2"/>
  <c r="C102" i="2"/>
  <c r="C106" i="2"/>
  <c r="C107" i="2"/>
  <c r="C108" i="2"/>
  <c r="C109" i="2"/>
  <c r="C113" i="2"/>
  <c r="C114" i="2"/>
  <c r="C115" i="2"/>
  <c r="C119" i="2"/>
  <c r="C124" i="2"/>
  <c r="C125" i="2"/>
  <c r="AQ26" i="2" l="1"/>
  <c r="BC5" i="2" l="1"/>
  <c r="BD5" i="2"/>
  <c r="BE5" i="2"/>
  <c r="BF5" i="2"/>
  <c r="BG5" i="2"/>
  <c r="BC10" i="2"/>
  <c r="BC11" i="2"/>
  <c r="BB12" i="2"/>
  <c r="BB18" i="2" s="1"/>
  <c r="BB20" i="2" s="1"/>
  <c r="BB22" i="2" s="1"/>
  <c r="BB24" i="2" s="1"/>
  <c r="BC13" i="2"/>
  <c r="BC14" i="2"/>
  <c r="BC15" i="2"/>
  <c r="BC16" i="2"/>
  <c r="BC17" i="2"/>
  <c r="BC19" i="2"/>
  <c r="BC21" i="2"/>
  <c r="BC23" i="2"/>
  <c r="BC28" i="2"/>
  <c r="BC29" i="2"/>
  <c r="BC30" i="2"/>
  <c r="BB31" i="2"/>
  <c r="BB32" i="2"/>
  <c r="BC33" i="2"/>
  <c r="BC34" i="2"/>
  <c r="BB35" i="2"/>
  <c r="BB45" i="2" s="1"/>
  <c r="BB44" i="2" s="1"/>
  <c r="BB42" i="2" s="1"/>
  <c r="BC37" i="2"/>
  <c r="BC38" i="2"/>
  <c r="BB39" i="2"/>
  <c r="BC40" i="2"/>
  <c r="BB41" i="2"/>
  <c r="BC43" i="2"/>
  <c r="BC47" i="2"/>
  <c r="BC51" i="2"/>
  <c r="BD51" i="2"/>
  <c r="BE51" i="2"/>
  <c r="BF51" i="2"/>
  <c r="BG51" i="2"/>
  <c r="BC54" i="2"/>
  <c r="BC55" i="2"/>
  <c r="BC56" i="2"/>
  <c r="BA60" i="2"/>
  <c r="BD60" i="2"/>
  <c r="BA61" i="2"/>
  <c r="BD61" i="2"/>
  <c r="BA62" i="2"/>
  <c r="BD62" i="2"/>
  <c r="BA63" i="2"/>
  <c r="BD63" i="2"/>
  <c r="BA64" i="2"/>
  <c r="BD64" i="2"/>
  <c r="BA69" i="2"/>
  <c r="BG69" i="2"/>
  <c r="BA70" i="2"/>
  <c r="BG70" i="2"/>
  <c r="BA71" i="2"/>
  <c r="BG71" i="2"/>
  <c r="BA72" i="2"/>
  <c r="BG72" i="2"/>
  <c r="BA73" i="2"/>
  <c r="BG73" i="2"/>
  <c r="BA74" i="2"/>
  <c r="BG74" i="2"/>
  <c r="BA75" i="2"/>
  <c r="BG75" i="2"/>
  <c r="BA76" i="2"/>
  <c r="BG76" i="2"/>
  <c r="BC80" i="2"/>
  <c r="BC81" i="2"/>
  <c r="BC82" i="2"/>
  <c r="BC83" i="2"/>
  <c r="BC84" i="2"/>
  <c r="BC85" i="2"/>
  <c r="BA90" i="2"/>
  <c r="BD90" i="2"/>
  <c r="BA91" i="2"/>
  <c r="BD91" i="2"/>
  <c r="BA92" i="2"/>
  <c r="BD92" i="2"/>
  <c r="BA93" i="2"/>
  <c r="BD93" i="2"/>
  <c r="BA94" i="2"/>
  <c r="BD94" i="2"/>
  <c r="BC98" i="2"/>
  <c r="BC99" i="2"/>
  <c r="BC100" i="2"/>
  <c r="BC101" i="2"/>
  <c r="BC102" i="2"/>
  <c r="BC106" i="2"/>
  <c r="BC107" i="2"/>
  <c r="BC108" i="2"/>
  <c r="BC109" i="2"/>
  <c r="BC113" i="2"/>
  <c r="BC114" i="2"/>
  <c r="BC115" i="2"/>
  <c r="BC119" i="2"/>
  <c r="BC124" i="2"/>
  <c r="BC125" i="2"/>
  <c r="AB133" i="2" l="1"/>
  <c r="AC112" i="2" l="1"/>
  <c r="AD112" i="2"/>
  <c r="AE112" i="2"/>
  <c r="AF112" i="2"/>
  <c r="AG112" i="2"/>
  <c r="AH112" i="2"/>
  <c r="AB10" i="2" l="1"/>
  <c r="AB21" i="2" l="1"/>
  <c r="AB20" i="2"/>
  <c r="AB18" i="2"/>
  <c r="AB16" i="2"/>
  <c r="AB14" i="2"/>
  <c r="AB13" i="2"/>
  <c r="AB12" i="2"/>
  <c r="AB11" i="2"/>
  <c r="AB8" i="2"/>
  <c r="AB7" i="2"/>
  <c r="AB9" i="2" l="1"/>
  <c r="AB15" i="2" s="1"/>
  <c r="AB17" i="2" s="1"/>
  <c r="AB19" i="2" s="1"/>
  <c r="AB106" i="2" l="1"/>
  <c r="AB107" i="2" l="1"/>
  <c r="AB33" i="2" l="1"/>
  <c r="AB120" i="2" l="1"/>
  <c r="AB77" i="2"/>
  <c r="AR26" i="2"/>
  <c r="AS26" i="2"/>
  <c r="AT26" i="2"/>
  <c r="AU26" i="2"/>
  <c r="AB78" i="2" l="1"/>
  <c r="AP20" i="2" s="1"/>
  <c r="AQ21" i="2" s="1"/>
  <c r="AP15" i="2"/>
  <c r="AB91" i="2"/>
  <c r="AP10" i="2" s="1"/>
  <c r="AB39" i="2"/>
  <c r="AB56" i="2" s="1"/>
  <c r="AC56" i="2" s="1"/>
  <c r="AD56" i="2" s="1"/>
  <c r="AB37" i="2"/>
  <c r="AB36" i="2"/>
  <c r="AB27" i="2"/>
  <c r="AB29" i="2"/>
  <c r="AB28" i="2"/>
  <c r="AG53" i="2"/>
  <c r="AF53" i="2"/>
  <c r="AE53" i="2"/>
  <c r="AD53" i="2"/>
  <c r="AC53" i="2"/>
  <c r="AB53" i="2"/>
  <c r="AG51" i="2"/>
  <c r="AF51" i="2"/>
  <c r="AE51" i="2"/>
  <c r="AD51" i="2"/>
  <c r="AC51" i="2"/>
  <c r="AB51" i="2"/>
  <c r="AC52" i="2"/>
  <c r="AD52" i="2"/>
  <c r="AE52" i="2"/>
  <c r="AF52" i="2"/>
  <c r="AG52" i="2"/>
  <c r="AB52" i="2"/>
  <c r="AG50" i="2"/>
  <c r="AF50" i="2"/>
  <c r="AE50" i="2"/>
  <c r="AD50" i="2"/>
  <c r="AC50" i="2"/>
  <c r="AB50" i="2"/>
  <c r="AB42" i="2"/>
  <c r="AB32" i="2"/>
  <c r="AB31" i="2" s="1"/>
  <c r="AC100" i="2"/>
  <c r="AD100" i="2" s="1"/>
  <c r="AE100" i="2" s="1"/>
  <c r="AF100" i="2" s="1"/>
  <c r="AG100" i="2" s="1"/>
  <c r="AH100" i="2" s="1"/>
  <c r="AQ4" i="2"/>
  <c r="AR4" i="2" s="1"/>
  <c r="AS4" i="2" s="1"/>
  <c r="AT4" i="2" s="1"/>
  <c r="AU4" i="2" s="1"/>
  <c r="AV4" i="2" s="1"/>
  <c r="AC83" i="2"/>
  <c r="AD83" i="2" s="1"/>
  <c r="AE83" i="2" s="1"/>
  <c r="AF83" i="2" s="1"/>
  <c r="AG83" i="2" s="1"/>
  <c r="AH83" i="2" s="1"/>
  <c r="AC71" i="2"/>
  <c r="AD71" i="2" s="1"/>
  <c r="AE71" i="2" s="1"/>
  <c r="AF71" i="2" s="1"/>
  <c r="AG71" i="2" s="1"/>
  <c r="AH71" i="2" s="1"/>
  <c r="AC48" i="2"/>
  <c r="AD48" i="2" s="1"/>
  <c r="AE48" i="2" s="1"/>
  <c r="AF48" i="2" s="1"/>
  <c r="AG48" i="2" s="1"/>
  <c r="AH48" i="2" s="1"/>
  <c r="AC25" i="2"/>
  <c r="AC5" i="2"/>
  <c r="AC16" i="2" l="1"/>
  <c r="AB105" i="2"/>
  <c r="AB76" i="2"/>
  <c r="AB104" i="2"/>
  <c r="AB75" i="2"/>
  <c r="AC7" i="2"/>
  <c r="AC33" i="2" s="1"/>
  <c r="AC11" i="2"/>
  <c r="AC32" i="2" s="1"/>
  <c r="AC8" i="2"/>
  <c r="AB38" i="2"/>
  <c r="AB40" i="2" s="1"/>
  <c r="AC55" i="2"/>
  <c r="AB30" i="2"/>
  <c r="AB34" i="2" s="1"/>
  <c r="AB44" i="2" s="1"/>
  <c r="AE56" i="2"/>
  <c r="AD55" i="2"/>
  <c r="AD5" i="2"/>
  <c r="AD25" i="2"/>
  <c r="AC29" i="2" l="1"/>
  <c r="AC10" i="2"/>
  <c r="AC9" i="2"/>
  <c r="AD7" i="2"/>
  <c r="AD10" i="2" s="1"/>
  <c r="AB43" i="2"/>
  <c r="AP8" i="2" s="1"/>
  <c r="AB61" i="2"/>
  <c r="AB62" i="2" s="1"/>
  <c r="AC62" i="2" s="1"/>
  <c r="AD62" i="2" s="1"/>
  <c r="AC28" i="2"/>
  <c r="AC37" i="2"/>
  <c r="AC36" i="2"/>
  <c r="AC27" i="2"/>
  <c r="AD8" i="2" s="1"/>
  <c r="AF56" i="2"/>
  <c r="AE55" i="2"/>
  <c r="AE25" i="2"/>
  <c r="AE5" i="2"/>
  <c r="AD9" i="2" l="1"/>
  <c r="AE7" i="2"/>
  <c r="AE10" i="2" s="1"/>
  <c r="AB41" i="2"/>
  <c r="AC38" i="2"/>
  <c r="AC30" i="2"/>
  <c r="AE62" i="2"/>
  <c r="AD33" i="2"/>
  <c r="AE11" i="2" s="1"/>
  <c r="AG56" i="2"/>
  <c r="AG55" i="2" s="1"/>
  <c r="AF55" i="2"/>
  <c r="AF5" i="2"/>
  <c r="AD27" i="2"/>
  <c r="AE8" i="2" s="1"/>
  <c r="AD29" i="2"/>
  <c r="AD37" i="2"/>
  <c r="AD28" i="2"/>
  <c r="AD36" i="2"/>
  <c r="AF25" i="2"/>
  <c r="AE9" i="2" l="1"/>
  <c r="AF7" i="2"/>
  <c r="AE27" i="2"/>
  <c r="AF8" i="2" s="1"/>
  <c r="AE29" i="2"/>
  <c r="AE37" i="2"/>
  <c r="AG25" i="2"/>
  <c r="AD30" i="2"/>
  <c r="AD34" i="2" s="1"/>
  <c r="AF62" i="2"/>
  <c r="AG5" i="2"/>
  <c r="AE33" i="2"/>
  <c r="AF11" i="2" s="1"/>
  <c r="AE28" i="2"/>
  <c r="AD38" i="2"/>
  <c r="AE36" i="2"/>
  <c r="AF27" i="2" l="1"/>
  <c r="AG8" i="2" s="1"/>
  <c r="AF10" i="2"/>
  <c r="AF9" i="2"/>
  <c r="AG7" i="2"/>
  <c r="AG28" i="2" s="1"/>
  <c r="AE38" i="2"/>
  <c r="AE30" i="2"/>
  <c r="AE34" i="2" s="1"/>
  <c r="AE44" i="2" s="1"/>
  <c r="AF33" i="2"/>
  <c r="AG11" i="2" s="1"/>
  <c r="AF28" i="2"/>
  <c r="AF29" i="2"/>
  <c r="AF37" i="2"/>
  <c r="AF36" i="2"/>
  <c r="AG62" i="2"/>
  <c r="AH25" i="2"/>
  <c r="AD44" i="2"/>
  <c r="AD39" i="2"/>
  <c r="AH5" i="2"/>
  <c r="AD104" i="2" l="1"/>
  <c r="AD105" i="2"/>
  <c r="AD75" i="2"/>
  <c r="AD76" i="2"/>
  <c r="AG36" i="2"/>
  <c r="AG10" i="2"/>
  <c r="AG29" i="2"/>
  <c r="AG37" i="2"/>
  <c r="AG9" i="2"/>
  <c r="AG33" i="2"/>
  <c r="AG27" i="2"/>
  <c r="AF38" i="2"/>
  <c r="AF30" i="2"/>
  <c r="AF34" i="2" s="1"/>
  <c r="AF44" i="2" s="1"/>
  <c r="AE39" i="2"/>
  <c r="AD40" i="2"/>
  <c r="AD43" i="2" s="1"/>
  <c r="AE104" i="2" l="1"/>
  <c r="AE105" i="2"/>
  <c r="AG38" i="2"/>
  <c r="AE16" i="2"/>
  <c r="AE75" i="2"/>
  <c r="AE76" i="2"/>
  <c r="AG30" i="2"/>
  <c r="AG34" i="2"/>
  <c r="AG44" i="2" s="1"/>
  <c r="AF39" i="2"/>
  <c r="AE58" i="2"/>
  <c r="AE12" i="2" s="1"/>
  <c r="AE40" i="2"/>
  <c r="AE43" i="2" s="1"/>
  <c r="AF104" i="2" l="1"/>
  <c r="AF105" i="2"/>
  <c r="AF75" i="2"/>
  <c r="AF76" i="2"/>
  <c r="AF16" i="2"/>
  <c r="AG39" i="2"/>
  <c r="AF58" i="2"/>
  <c r="AF12" i="2" s="1"/>
  <c r="AF40" i="2"/>
  <c r="AF43" i="2" s="1"/>
  <c r="AG104" i="2" l="1"/>
  <c r="AG105" i="2"/>
  <c r="AG75" i="2"/>
  <c r="AG76" i="2"/>
  <c r="AG16" i="2"/>
  <c r="AG40" i="2"/>
  <c r="AG43" i="2" s="1"/>
  <c r="AG58" i="2"/>
  <c r="AG12" i="2" l="1"/>
  <c r="AD11" i="2"/>
  <c r="AC31" i="2"/>
  <c r="AC34" i="2"/>
  <c r="AC39" i="2" s="1"/>
  <c r="AC75" i="2" l="1"/>
  <c r="AC40" i="2"/>
  <c r="AD58" i="2"/>
  <c r="AD12" i="2" s="1"/>
  <c r="AC44" i="2"/>
  <c r="AC43" i="2" s="1"/>
  <c r="AD32" i="2"/>
  <c r="AD16" i="2"/>
  <c r="AC105" i="2"/>
  <c r="AC76" i="2"/>
  <c r="AC58" i="2"/>
  <c r="AC104" i="2"/>
  <c r="AC12" i="2" l="1"/>
  <c r="AC59" i="2"/>
  <c r="AD59" i="2" s="1"/>
  <c r="AE59" i="2" s="1"/>
  <c r="AF59" i="2" s="1"/>
  <c r="AG59" i="2" s="1"/>
  <c r="AD31" i="2"/>
  <c r="AE32" i="2"/>
  <c r="AF32" i="2" l="1"/>
  <c r="AE31" i="2"/>
  <c r="AG32" i="2" l="1"/>
  <c r="AG31" i="2" s="1"/>
  <c r="AF31" i="2"/>
  <c r="AC133" i="2"/>
  <c r="AD133" i="2"/>
  <c r="AE133" i="2"/>
  <c r="AF133" i="2"/>
  <c r="AG133" i="2"/>
  <c r="AP7" i="2"/>
  <c r="AQ7" i="2"/>
  <c r="AR7" i="2"/>
  <c r="AS7" i="2"/>
  <c r="AT7" i="2"/>
  <c r="AU7" i="2"/>
  <c r="AQ8" i="2"/>
  <c r="AR8" i="2"/>
  <c r="AS8" i="2"/>
  <c r="AT8" i="2"/>
  <c r="AU8" i="2"/>
  <c r="AQ10" i="2"/>
  <c r="AR10" i="2"/>
  <c r="AS10" i="2"/>
  <c r="AT10" i="2"/>
  <c r="AU10" i="2"/>
  <c r="AQ11" i="2"/>
  <c r="AR11" i="2"/>
  <c r="AS11" i="2"/>
  <c r="AT11" i="2"/>
  <c r="AU11" i="2"/>
  <c r="AV11" i="2"/>
  <c r="AC13" i="2"/>
  <c r="AD13" i="2"/>
  <c r="AE13" i="2"/>
  <c r="AF13" i="2"/>
  <c r="AG13" i="2"/>
  <c r="AP13" i="2"/>
  <c r="AQ13" i="2"/>
  <c r="AR13" i="2"/>
  <c r="AS13" i="2"/>
  <c r="AT13" i="2"/>
  <c r="AU13" i="2"/>
  <c r="AC14" i="2"/>
  <c r="AD14" i="2"/>
  <c r="AE14" i="2"/>
  <c r="AF14" i="2"/>
  <c r="AG14" i="2"/>
  <c r="AP14" i="2"/>
  <c r="AQ14" i="2"/>
  <c r="AR14" i="2"/>
  <c r="AS14" i="2"/>
  <c r="AT14" i="2"/>
  <c r="AU14" i="2"/>
  <c r="AC15" i="2"/>
  <c r="AD15" i="2"/>
  <c r="AE15" i="2"/>
  <c r="AF15" i="2"/>
  <c r="AG15" i="2"/>
  <c r="AQ15" i="2"/>
  <c r="AR15" i="2"/>
  <c r="AS15" i="2"/>
  <c r="AT15" i="2"/>
  <c r="AU15" i="2"/>
  <c r="AC17" i="2"/>
  <c r="AD17" i="2"/>
  <c r="AE17" i="2"/>
  <c r="AF17" i="2"/>
  <c r="AG17" i="2"/>
  <c r="AP17" i="2"/>
  <c r="AQ17" i="2"/>
  <c r="AR17" i="2"/>
  <c r="AS17" i="2"/>
  <c r="AT17" i="2"/>
  <c r="AU17" i="2"/>
  <c r="AC18" i="2"/>
  <c r="AD18" i="2"/>
  <c r="AE18" i="2"/>
  <c r="AF18" i="2"/>
  <c r="AG18" i="2"/>
  <c r="AP18" i="2"/>
  <c r="AQ18" i="2"/>
  <c r="AR18" i="2"/>
  <c r="AS18" i="2"/>
  <c r="AT18" i="2"/>
  <c r="AU18" i="2"/>
  <c r="AC19" i="2"/>
  <c r="AD19" i="2"/>
  <c r="AE19" i="2"/>
  <c r="AF19" i="2"/>
  <c r="AG19" i="2"/>
  <c r="AC20" i="2"/>
  <c r="AD20" i="2"/>
  <c r="AE20" i="2"/>
  <c r="AF20" i="2"/>
  <c r="AG20" i="2"/>
  <c r="AQ20" i="2"/>
  <c r="AR20" i="2"/>
  <c r="AS20" i="2"/>
  <c r="AT20" i="2"/>
  <c r="AU20" i="2"/>
  <c r="AC21" i="2"/>
  <c r="AD21" i="2"/>
  <c r="AE21" i="2"/>
  <c r="AF21" i="2"/>
  <c r="AG21" i="2"/>
  <c r="AR21" i="2"/>
  <c r="AS21" i="2"/>
  <c r="AT21" i="2"/>
  <c r="AU21" i="2"/>
  <c r="AP23" i="2"/>
  <c r="AQ23" i="2"/>
  <c r="AR23" i="2"/>
  <c r="AS23" i="2"/>
  <c r="AT23" i="2"/>
  <c r="AU23" i="2"/>
  <c r="AQ24" i="2"/>
  <c r="AR24" i="2"/>
  <c r="AS24" i="2"/>
  <c r="AT24" i="2"/>
  <c r="AU24" i="2"/>
  <c r="AV24" i="2"/>
  <c r="AQ27" i="2"/>
  <c r="AR27" i="2"/>
  <c r="AS27" i="2"/>
  <c r="AT27" i="2"/>
  <c r="AU27" i="2"/>
  <c r="AQ28" i="2"/>
  <c r="AR28" i="2"/>
  <c r="AS28" i="2"/>
  <c r="AT28" i="2"/>
  <c r="AU28" i="2"/>
  <c r="AQ30" i="2"/>
  <c r="AR30" i="2"/>
  <c r="AS30" i="2"/>
  <c r="AT30" i="2"/>
  <c r="AU30" i="2"/>
  <c r="AR31" i="2"/>
  <c r="AS31" i="2"/>
  <c r="AT31" i="2"/>
  <c r="AU31" i="2"/>
  <c r="AC41" i="2"/>
  <c r="AD41" i="2"/>
  <c r="AE41" i="2"/>
  <c r="AF41" i="2"/>
  <c r="AG41" i="2"/>
  <c r="AC42" i="2"/>
  <c r="AD42" i="2"/>
  <c r="AE42" i="2"/>
  <c r="AF42" i="2"/>
  <c r="AG42" i="2"/>
  <c r="AC64" i="2"/>
  <c r="AD64" i="2"/>
  <c r="AE64" i="2"/>
  <c r="AF64" i="2"/>
  <c r="AG64" i="2"/>
  <c r="AC65" i="2"/>
  <c r="AD65" i="2"/>
  <c r="AE65" i="2"/>
  <c r="AF65" i="2"/>
  <c r="AG65" i="2"/>
  <c r="AB73" i="2"/>
  <c r="AC73" i="2"/>
  <c r="AD73" i="2"/>
  <c r="AE73" i="2"/>
  <c r="AF73" i="2"/>
  <c r="AG73" i="2"/>
  <c r="AB74" i="2"/>
  <c r="AC74" i="2"/>
  <c r="AD74" i="2"/>
  <c r="AE74" i="2"/>
  <c r="AF74" i="2"/>
  <c r="AG74" i="2"/>
  <c r="AC77" i="2"/>
  <c r="AD77" i="2"/>
  <c r="AE77" i="2"/>
  <c r="AF77" i="2"/>
  <c r="AG77" i="2"/>
  <c r="AC78" i="2"/>
  <c r="AD78" i="2"/>
  <c r="AE78" i="2"/>
  <c r="AF78" i="2"/>
  <c r="AG78" i="2"/>
  <c r="AB79" i="2"/>
  <c r="AC79" i="2"/>
  <c r="AD79" i="2"/>
  <c r="AE79" i="2"/>
  <c r="AF79" i="2"/>
  <c r="AG79" i="2"/>
  <c r="AC85" i="2"/>
  <c r="AD85" i="2"/>
  <c r="AE85" i="2"/>
  <c r="AF85" i="2"/>
  <c r="AG85" i="2"/>
  <c r="AH85" i="2"/>
  <c r="AG86" i="2"/>
  <c r="AH87" i="2"/>
  <c r="AB89" i="2"/>
  <c r="AC89" i="2"/>
  <c r="AD89" i="2"/>
  <c r="AE89" i="2"/>
  <c r="AF89" i="2"/>
  <c r="AG89" i="2"/>
  <c r="AC90" i="2"/>
  <c r="AD90" i="2"/>
  <c r="AE90" i="2"/>
  <c r="AF90" i="2"/>
  <c r="AG90" i="2"/>
  <c r="AC91" i="2"/>
  <c r="AD91" i="2"/>
  <c r="AE91" i="2"/>
  <c r="AF91" i="2"/>
  <c r="AG91" i="2"/>
  <c r="AB92" i="2"/>
  <c r="AC92" i="2"/>
  <c r="AD92" i="2"/>
  <c r="AE92" i="2"/>
  <c r="AF92" i="2"/>
  <c r="AG92" i="2"/>
  <c r="AB93" i="2"/>
  <c r="AC93" i="2"/>
  <c r="AD93" i="2"/>
  <c r="AE93" i="2"/>
  <c r="AF93" i="2"/>
  <c r="AG93" i="2"/>
  <c r="AB102" i="2"/>
  <c r="AC102" i="2"/>
  <c r="AD102" i="2"/>
  <c r="AE102" i="2"/>
  <c r="AF102" i="2"/>
  <c r="AG102" i="2"/>
  <c r="AB103" i="2"/>
  <c r="AC103" i="2"/>
  <c r="AD103" i="2"/>
  <c r="AE103" i="2"/>
  <c r="AF103" i="2"/>
  <c r="AG103" i="2"/>
  <c r="AC106" i="2"/>
  <c r="AD106" i="2"/>
  <c r="AE106" i="2"/>
  <c r="AF106" i="2"/>
  <c r="AG106" i="2"/>
  <c r="AC107" i="2"/>
  <c r="AD107" i="2"/>
  <c r="AE107" i="2"/>
  <c r="AF107" i="2"/>
  <c r="AG107" i="2"/>
  <c r="AB108" i="2"/>
  <c r="AC108" i="2"/>
  <c r="AD108" i="2"/>
  <c r="AE108" i="2"/>
  <c r="AF108" i="2"/>
  <c r="AG108" i="2"/>
  <c r="AC114" i="2"/>
  <c r="AD114" i="2"/>
  <c r="AE114" i="2"/>
  <c r="AF114" i="2"/>
  <c r="AG114" i="2"/>
  <c r="AH114" i="2"/>
  <c r="AG115" i="2"/>
  <c r="AH116" i="2"/>
  <c r="AB118" i="2"/>
  <c r="AC118" i="2"/>
  <c r="AD118" i="2"/>
  <c r="AE118" i="2"/>
  <c r="AF118" i="2"/>
  <c r="AG118" i="2"/>
  <c r="AC119" i="2"/>
  <c r="AD119" i="2"/>
  <c r="AE119" i="2"/>
  <c r="AF119" i="2"/>
  <c r="AG119" i="2"/>
  <c r="AC120" i="2"/>
  <c r="AD120" i="2"/>
  <c r="AE120" i="2"/>
  <c r="AF120" i="2"/>
  <c r="AG120" i="2"/>
  <c r="AB121" i="2"/>
  <c r="AC121" i="2"/>
  <c r="AD121" i="2"/>
  <c r="AE121" i="2"/>
  <c r="AF121" i="2"/>
  <c r="AG121" i="2"/>
  <c r="AB122" i="2"/>
  <c r="AC122" i="2"/>
  <c r="AD122" i="2"/>
  <c r="AE122" i="2"/>
  <c r="AF122" i="2"/>
  <c r="AG122" i="2"/>
</calcChain>
</file>

<file path=xl/comments1.xml><?xml version="1.0" encoding="utf-8"?>
<comments xmlns="http://schemas.openxmlformats.org/spreadsheetml/2006/main">
  <authors>
    <author>Author</author>
  </authors>
  <commentList>
    <comment ref="C10" authorId="0" shapeId="0">
      <text>
        <r>
          <rPr>
            <b/>
            <sz val="9"/>
            <color indexed="81"/>
            <rFont val="Tahoma"/>
            <family val="2"/>
          </rPr>
          <t>Author:</t>
        </r>
        <r>
          <rPr>
            <sz val="9"/>
            <color indexed="81"/>
            <rFont val="Tahoma"/>
            <family val="2"/>
          </rPr>
          <t xml:space="preserve">
The entered vlaues in the Income Statement has to be positive numbers. </t>
        </r>
      </text>
    </comment>
    <comment ref="AC10" authorId="0" shapeId="0">
      <text>
        <r>
          <rPr>
            <b/>
            <sz val="9"/>
            <color indexed="81"/>
            <rFont val="Tahoma"/>
            <family val="2"/>
          </rPr>
          <t>Author:</t>
        </r>
        <r>
          <rPr>
            <sz val="9"/>
            <color indexed="81"/>
            <rFont val="Tahoma"/>
            <family val="2"/>
          </rPr>
          <t xml:space="preserve">
Contains Innovation #4 for Economies of Scale for Cost of Sales.</t>
        </r>
      </text>
    </comment>
    <comment ref="AD10" authorId="0" shapeId="0">
      <text>
        <r>
          <rPr>
            <b/>
            <sz val="9"/>
            <color indexed="81"/>
            <rFont val="Tahoma"/>
            <family val="2"/>
          </rPr>
          <t>Author:</t>
        </r>
        <r>
          <rPr>
            <sz val="9"/>
            <color indexed="81"/>
            <rFont val="Tahoma"/>
            <family val="2"/>
          </rPr>
          <t xml:space="preserve">
Contains Innovation #4 for Economies of Scale for Cost of Sales.</t>
        </r>
      </text>
    </comment>
    <comment ref="AE10" authorId="0" shapeId="0">
      <text>
        <r>
          <rPr>
            <b/>
            <sz val="9"/>
            <color indexed="81"/>
            <rFont val="Tahoma"/>
            <family val="2"/>
          </rPr>
          <t>Author:</t>
        </r>
        <r>
          <rPr>
            <sz val="9"/>
            <color indexed="81"/>
            <rFont val="Tahoma"/>
            <family val="2"/>
          </rPr>
          <t xml:space="preserve">
Contains Innovation #4 for Economies of Scale for Cost of Sales.</t>
        </r>
      </text>
    </comment>
    <comment ref="AF10" authorId="0" shapeId="0">
      <text>
        <r>
          <rPr>
            <b/>
            <sz val="9"/>
            <color indexed="81"/>
            <rFont val="Tahoma"/>
            <family val="2"/>
          </rPr>
          <t>Author:</t>
        </r>
        <r>
          <rPr>
            <sz val="9"/>
            <color indexed="81"/>
            <rFont val="Tahoma"/>
            <family val="2"/>
          </rPr>
          <t xml:space="preserve">
Contains Innovation #4 for Economies of Scale for Cost of Sales.</t>
        </r>
      </text>
    </comment>
    <comment ref="AG10" authorId="0" shapeId="0">
      <text>
        <r>
          <rPr>
            <b/>
            <sz val="9"/>
            <color indexed="81"/>
            <rFont val="Tahoma"/>
            <family val="2"/>
          </rPr>
          <t>Author:</t>
        </r>
        <r>
          <rPr>
            <sz val="9"/>
            <color indexed="81"/>
            <rFont val="Tahoma"/>
            <family val="2"/>
          </rPr>
          <t xml:space="preserve">
Contains Innovation #4 for Economies of Scale for Cost of Sales.</t>
        </r>
      </text>
    </comment>
    <comment ref="AC16" authorId="0" shapeId="0">
      <text>
        <r>
          <rPr>
            <b/>
            <sz val="9"/>
            <color indexed="81"/>
            <rFont val="Tahoma"/>
            <family val="2"/>
          </rPr>
          <t>Author:</t>
        </r>
        <r>
          <rPr>
            <sz val="9"/>
            <color indexed="81"/>
            <rFont val="Tahoma"/>
            <family val="2"/>
          </rPr>
          <t xml:space="preserve">
Contains Innovation #3 for Interest Expense Calculations</t>
        </r>
      </text>
    </comment>
    <comment ref="AD16" authorId="0" shapeId="0">
      <text>
        <r>
          <rPr>
            <b/>
            <sz val="9"/>
            <color indexed="81"/>
            <rFont val="Tahoma"/>
            <family val="2"/>
          </rPr>
          <t>Author:</t>
        </r>
        <r>
          <rPr>
            <sz val="9"/>
            <color indexed="81"/>
            <rFont val="Tahoma"/>
            <family val="2"/>
          </rPr>
          <t xml:space="preserve">
Contains Innovation #3 for Interest Expense Calculations</t>
        </r>
      </text>
    </comment>
    <comment ref="AE16" authorId="0" shapeId="0">
      <text>
        <r>
          <rPr>
            <b/>
            <sz val="9"/>
            <color indexed="81"/>
            <rFont val="Tahoma"/>
            <family val="2"/>
          </rPr>
          <t>Author:</t>
        </r>
        <r>
          <rPr>
            <sz val="9"/>
            <color indexed="81"/>
            <rFont val="Tahoma"/>
            <family val="2"/>
          </rPr>
          <t xml:space="preserve">
Contains Innovation #3 for Interest Expense Calculations</t>
        </r>
      </text>
    </comment>
    <comment ref="AF16" authorId="0" shapeId="0">
      <text>
        <r>
          <rPr>
            <b/>
            <sz val="9"/>
            <color indexed="81"/>
            <rFont val="Tahoma"/>
            <family val="2"/>
          </rPr>
          <t>Author:</t>
        </r>
        <r>
          <rPr>
            <sz val="9"/>
            <color indexed="81"/>
            <rFont val="Tahoma"/>
            <family val="2"/>
          </rPr>
          <t xml:space="preserve">
Contains Innovation #3 for Interest Expense Calculations</t>
        </r>
      </text>
    </comment>
    <comment ref="AG16" authorId="0" shapeId="0">
      <text>
        <r>
          <rPr>
            <b/>
            <sz val="9"/>
            <color indexed="81"/>
            <rFont val="Tahoma"/>
            <family val="2"/>
          </rPr>
          <t>Author:</t>
        </r>
        <r>
          <rPr>
            <sz val="9"/>
            <color indexed="81"/>
            <rFont val="Tahoma"/>
            <family val="2"/>
          </rPr>
          <t xml:space="preserve">
Contains Innovation #3 for Interest Expense Calculations</t>
        </r>
      </text>
    </comment>
    <comment ref="AC18" authorId="0" shapeId="0">
      <text>
        <r>
          <rPr>
            <b/>
            <sz val="9"/>
            <color indexed="81"/>
            <rFont val="Tahoma"/>
            <family val="2"/>
          </rPr>
          <t>Author:</t>
        </r>
        <r>
          <rPr>
            <sz val="9"/>
            <color indexed="81"/>
            <rFont val="Tahoma"/>
            <family val="2"/>
          </rPr>
          <t xml:space="preserve">
Contains Innovation #6 for Progressive Tax Rate Schedule</t>
        </r>
      </text>
    </comment>
    <comment ref="AD18" authorId="0" shapeId="0">
      <text>
        <r>
          <rPr>
            <b/>
            <sz val="9"/>
            <color indexed="81"/>
            <rFont val="Tahoma"/>
            <family val="2"/>
          </rPr>
          <t>Author:</t>
        </r>
        <r>
          <rPr>
            <sz val="9"/>
            <color indexed="81"/>
            <rFont val="Tahoma"/>
            <family val="2"/>
          </rPr>
          <t xml:space="preserve">
Contains Innovation #6 for Progressive Tax Rate Schedule</t>
        </r>
      </text>
    </comment>
    <comment ref="AE18" authorId="0" shapeId="0">
      <text>
        <r>
          <rPr>
            <b/>
            <sz val="9"/>
            <color indexed="81"/>
            <rFont val="Tahoma"/>
            <family val="2"/>
          </rPr>
          <t>Author:</t>
        </r>
        <r>
          <rPr>
            <sz val="9"/>
            <color indexed="81"/>
            <rFont val="Tahoma"/>
            <family val="2"/>
          </rPr>
          <t xml:space="preserve">
Contains Innovation #6 for Progressive Tax Rate Schedule</t>
        </r>
      </text>
    </comment>
    <comment ref="AF18" authorId="0" shapeId="0">
      <text>
        <r>
          <rPr>
            <b/>
            <sz val="9"/>
            <color indexed="81"/>
            <rFont val="Tahoma"/>
            <family val="2"/>
          </rPr>
          <t>Author:</t>
        </r>
        <r>
          <rPr>
            <sz val="9"/>
            <color indexed="81"/>
            <rFont val="Tahoma"/>
            <family val="2"/>
          </rPr>
          <t xml:space="preserve">
Contains Innovation #6 for Progressive Tax Rate Schedule</t>
        </r>
      </text>
    </comment>
    <comment ref="AG18" authorId="0" shapeId="0">
      <text>
        <r>
          <rPr>
            <b/>
            <sz val="9"/>
            <color indexed="81"/>
            <rFont val="Tahoma"/>
            <family val="2"/>
          </rPr>
          <t>Author:</t>
        </r>
        <r>
          <rPr>
            <sz val="9"/>
            <color indexed="81"/>
            <rFont val="Tahoma"/>
            <family val="2"/>
          </rPr>
          <t xml:space="preserve">
Contains Innovation #6 for Progressive Tax Rate Schedule</t>
        </r>
      </text>
    </comment>
    <comment ref="C28" authorId="0" shapeId="0">
      <text>
        <r>
          <rPr>
            <b/>
            <sz val="9"/>
            <color indexed="81"/>
            <rFont val="Tahoma"/>
            <family val="2"/>
          </rPr>
          <t>Author:</t>
        </r>
        <r>
          <rPr>
            <sz val="9"/>
            <color indexed="81"/>
            <rFont val="Tahoma"/>
            <family val="2"/>
          </rPr>
          <t xml:space="preserve">
The entered vlaues in the Balance Sheet has to be positive numbers.</t>
        </r>
      </text>
    </comment>
    <comment ref="C51" authorId="0" shapeId="0">
      <text>
        <r>
          <rPr>
            <b/>
            <sz val="9"/>
            <color indexed="81"/>
            <rFont val="Tahoma"/>
            <family val="2"/>
          </rPr>
          <t>Author:</t>
        </r>
        <r>
          <rPr>
            <sz val="9"/>
            <color indexed="81"/>
            <rFont val="Tahoma"/>
            <family val="2"/>
          </rPr>
          <t xml:space="preserve">
The entered vlaues cannot be less than zero. </t>
        </r>
      </text>
    </comment>
    <comment ref="C54" authorId="0" shapeId="0">
      <text>
        <r>
          <rPr>
            <b/>
            <sz val="9"/>
            <color indexed="81"/>
            <rFont val="Tahoma"/>
            <family val="2"/>
          </rPr>
          <t>Author:</t>
        </r>
        <r>
          <rPr>
            <sz val="9"/>
            <color indexed="81"/>
            <rFont val="Tahoma"/>
            <family val="2"/>
          </rPr>
          <t xml:space="preserve">
The entered vlaues cannot be more than 100% or less than zero. </t>
        </r>
      </text>
    </comment>
    <comment ref="A60" authorId="0" shapeId="0">
      <text>
        <r>
          <rPr>
            <b/>
            <sz val="9"/>
            <color indexed="81"/>
            <rFont val="Tahoma"/>
            <family val="2"/>
          </rPr>
          <t>Author:</t>
        </r>
        <r>
          <rPr>
            <sz val="9"/>
            <color indexed="81"/>
            <rFont val="Tahoma"/>
            <family val="2"/>
          </rPr>
          <t xml:space="preserve">
Please ensure that the lower limit of the Sales range in each cell does not exceed the upper limit which is defines in the bottom cell. </t>
        </r>
      </text>
    </comment>
    <comment ref="D60" authorId="0" shapeId="0">
      <text>
        <r>
          <rPr>
            <b/>
            <sz val="9"/>
            <color indexed="81"/>
            <rFont val="Tahoma"/>
            <family val="2"/>
          </rPr>
          <t>Author:</t>
        </r>
        <r>
          <rPr>
            <sz val="9"/>
            <color indexed="81"/>
            <rFont val="Tahoma"/>
            <family val="2"/>
          </rPr>
          <t xml:space="preserve">
The entered vlaues cannot be less than zero. </t>
        </r>
      </text>
    </comment>
    <comment ref="A69" authorId="0" shapeId="0">
      <text>
        <r>
          <rPr>
            <b/>
            <sz val="9"/>
            <color indexed="81"/>
            <rFont val="Tahoma"/>
            <family val="2"/>
          </rPr>
          <t>Author:</t>
        </r>
        <r>
          <rPr>
            <sz val="9"/>
            <color indexed="81"/>
            <rFont val="Tahoma"/>
            <family val="2"/>
          </rPr>
          <t xml:space="preserve">
Please ensure that the lower limit of the Taxable Income in each cell does not exceed the upper limit which is defines in the bottom cell. </t>
        </r>
      </text>
    </comment>
    <comment ref="E69" authorId="0" shapeId="0">
      <text>
        <r>
          <rPr>
            <b/>
            <sz val="9"/>
            <color indexed="81"/>
            <rFont val="Tahoma"/>
            <family val="2"/>
          </rPr>
          <t>Author:</t>
        </r>
        <r>
          <rPr>
            <sz val="9"/>
            <color indexed="81"/>
            <rFont val="Tahoma"/>
            <family val="2"/>
          </rPr>
          <t xml:space="preserve">
The value entered in each of the cells of this column has to be a decimal number less than one.</t>
        </r>
      </text>
    </comment>
    <comment ref="G69" authorId="0" shapeId="0">
      <text>
        <r>
          <rPr>
            <b/>
            <sz val="9"/>
            <color indexed="81"/>
            <rFont val="Tahoma"/>
            <family val="2"/>
          </rPr>
          <t>Author:</t>
        </r>
        <r>
          <rPr>
            <sz val="9"/>
            <color indexed="81"/>
            <rFont val="Tahoma"/>
            <family val="2"/>
          </rPr>
          <t xml:space="preserve">
Please ensure that the lower limit of the Taxable Income in each cell does not exceed the upper limit which is defines in the bottom cell, EXCEPT for the last cell which should be equal to Zero.</t>
        </r>
      </text>
    </comment>
    <comment ref="AB73" authorId="0" shapeId="0">
      <text>
        <r>
          <rPr>
            <b/>
            <sz val="9"/>
            <color indexed="81"/>
            <rFont val="Tahoma"/>
            <family val="2"/>
          </rPr>
          <t>Author:</t>
        </r>
        <r>
          <rPr>
            <sz val="9"/>
            <color indexed="81"/>
            <rFont val="Tahoma"/>
            <family val="2"/>
          </rPr>
          <t xml:space="preserve">
Contains Innovation #5 for All Debt vs Long-Term Debt</t>
        </r>
      </text>
    </comment>
    <comment ref="AC73" authorId="0" shapeId="0">
      <text>
        <r>
          <rPr>
            <b/>
            <sz val="9"/>
            <color indexed="81"/>
            <rFont val="Tahoma"/>
            <family val="2"/>
          </rPr>
          <t>Author:</t>
        </r>
        <r>
          <rPr>
            <sz val="9"/>
            <color indexed="81"/>
            <rFont val="Tahoma"/>
            <family val="2"/>
          </rPr>
          <t xml:space="preserve">
Contains Innovation #5 for All Debt vs Long-Term Debt</t>
        </r>
      </text>
    </comment>
    <comment ref="AD73" authorId="0" shapeId="0">
      <text>
        <r>
          <rPr>
            <b/>
            <sz val="9"/>
            <color indexed="81"/>
            <rFont val="Tahoma"/>
            <family val="2"/>
          </rPr>
          <t>Author:</t>
        </r>
        <r>
          <rPr>
            <sz val="9"/>
            <color indexed="81"/>
            <rFont val="Tahoma"/>
            <family val="2"/>
          </rPr>
          <t xml:space="preserve">
Contains Innovation #5 for All Debt vs Long-Term Debt</t>
        </r>
      </text>
    </comment>
    <comment ref="AE73" authorId="0" shapeId="0">
      <text>
        <r>
          <rPr>
            <b/>
            <sz val="9"/>
            <color indexed="81"/>
            <rFont val="Tahoma"/>
            <family val="2"/>
          </rPr>
          <t>Author:</t>
        </r>
        <r>
          <rPr>
            <sz val="9"/>
            <color indexed="81"/>
            <rFont val="Tahoma"/>
            <family val="2"/>
          </rPr>
          <t xml:space="preserve">
Contains Innovation #5 for All Debt vs Long-Term Debt</t>
        </r>
      </text>
    </comment>
    <comment ref="AF73" authorId="0" shapeId="0">
      <text>
        <r>
          <rPr>
            <b/>
            <sz val="9"/>
            <color indexed="81"/>
            <rFont val="Tahoma"/>
            <family val="2"/>
          </rPr>
          <t>Author:</t>
        </r>
        <r>
          <rPr>
            <sz val="9"/>
            <color indexed="81"/>
            <rFont val="Tahoma"/>
            <family val="2"/>
          </rPr>
          <t xml:space="preserve">
Contains Innovation #5 for All Debt vs Long-Term Debt</t>
        </r>
      </text>
    </comment>
    <comment ref="AG73" authorId="0" shapeId="0">
      <text>
        <r>
          <rPr>
            <b/>
            <sz val="9"/>
            <color indexed="81"/>
            <rFont val="Tahoma"/>
            <family val="2"/>
          </rPr>
          <t>Author:</t>
        </r>
        <r>
          <rPr>
            <sz val="9"/>
            <color indexed="81"/>
            <rFont val="Tahoma"/>
            <family val="2"/>
          </rPr>
          <t xml:space="preserve">
Contains Innovation #5 for All Debt vs Long-Term Debt</t>
        </r>
      </text>
    </comment>
    <comment ref="AB75" authorId="0" shapeId="0">
      <text>
        <r>
          <rPr>
            <b/>
            <sz val="9"/>
            <color indexed="81"/>
            <rFont val="Tahoma"/>
            <family val="2"/>
          </rPr>
          <t>Author:</t>
        </r>
        <r>
          <rPr>
            <sz val="9"/>
            <color indexed="81"/>
            <rFont val="Tahoma"/>
            <family val="2"/>
          </rPr>
          <t xml:space="preserve">
Contains Innovation #5 for All Debt vs Long-Term Debt</t>
        </r>
      </text>
    </comment>
    <comment ref="AC75" authorId="0" shapeId="0">
      <text>
        <r>
          <rPr>
            <b/>
            <sz val="9"/>
            <color indexed="81"/>
            <rFont val="Tahoma"/>
            <family val="2"/>
          </rPr>
          <t>Author:</t>
        </r>
        <r>
          <rPr>
            <sz val="9"/>
            <color indexed="81"/>
            <rFont val="Tahoma"/>
            <family val="2"/>
          </rPr>
          <t xml:space="preserve">
Contains Innovation #5 for All Debt vs Long-Term Debt</t>
        </r>
      </text>
    </comment>
    <comment ref="AD75" authorId="0" shapeId="0">
      <text>
        <r>
          <rPr>
            <b/>
            <sz val="9"/>
            <color indexed="81"/>
            <rFont val="Tahoma"/>
            <family val="2"/>
          </rPr>
          <t>Author:</t>
        </r>
        <r>
          <rPr>
            <sz val="9"/>
            <color indexed="81"/>
            <rFont val="Tahoma"/>
            <family val="2"/>
          </rPr>
          <t xml:space="preserve">
Contains Innovation #5 for All Debt vs Long-Term Debt</t>
        </r>
      </text>
    </comment>
    <comment ref="AE75" authorId="0" shapeId="0">
      <text>
        <r>
          <rPr>
            <b/>
            <sz val="9"/>
            <color indexed="81"/>
            <rFont val="Tahoma"/>
            <family val="2"/>
          </rPr>
          <t>Author:</t>
        </r>
        <r>
          <rPr>
            <sz val="9"/>
            <color indexed="81"/>
            <rFont val="Tahoma"/>
            <family val="2"/>
          </rPr>
          <t xml:space="preserve">
Contains Innovation #5 for All Debt vs Long-Term Debt</t>
        </r>
      </text>
    </comment>
    <comment ref="AF75" authorId="0" shapeId="0">
      <text>
        <r>
          <rPr>
            <b/>
            <sz val="9"/>
            <color indexed="81"/>
            <rFont val="Tahoma"/>
            <family val="2"/>
          </rPr>
          <t>Author:</t>
        </r>
        <r>
          <rPr>
            <sz val="9"/>
            <color indexed="81"/>
            <rFont val="Tahoma"/>
            <family val="2"/>
          </rPr>
          <t xml:space="preserve">
Contains Innovation #5 for All Debt vs Long-Term Debt</t>
        </r>
      </text>
    </comment>
    <comment ref="AG75" authorId="0" shapeId="0">
      <text>
        <r>
          <rPr>
            <b/>
            <sz val="9"/>
            <color indexed="81"/>
            <rFont val="Tahoma"/>
            <family val="2"/>
          </rPr>
          <t>Author:</t>
        </r>
        <r>
          <rPr>
            <sz val="9"/>
            <color indexed="81"/>
            <rFont val="Tahoma"/>
            <family val="2"/>
          </rPr>
          <t xml:space="preserve">
Contains Innovation #5 for All Debt vs Long-Term Debt</t>
        </r>
      </text>
    </comment>
    <comment ref="AB76" authorId="0" shapeId="0">
      <text>
        <r>
          <rPr>
            <b/>
            <sz val="9"/>
            <color indexed="81"/>
            <rFont val="Tahoma"/>
            <family val="2"/>
          </rPr>
          <t>Author:</t>
        </r>
        <r>
          <rPr>
            <sz val="9"/>
            <color indexed="81"/>
            <rFont val="Tahoma"/>
            <family val="2"/>
          </rPr>
          <t xml:space="preserve">
Contains Innovation #5 for All Debt vs Long-Term Debt</t>
        </r>
      </text>
    </comment>
    <comment ref="AC76" authorId="0" shapeId="0">
      <text>
        <r>
          <rPr>
            <b/>
            <sz val="9"/>
            <color indexed="81"/>
            <rFont val="Tahoma"/>
            <family val="2"/>
          </rPr>
          <t>Author:</t>
        </r>
        <r>
          <rPr>
            <sz val="9"/>
            <color indexed="81"/>
            <rFont val="Tahoma"/>
            <family val="2"/>
          </rPr>
          <t xml:space="preserve">
Contains Innovation #5 for All Debt vs Long-Term Debt</t>
        </r>
      </text>
    </comment>
    <comment ref="AD76" authorId="0" shapeId="0">
      <text>
        <r>
          <rPr>
            <b/>
            <sz val="9"/>
            <color indexed="81"/>
            <rFont val="Tahoma"/>
            <family val="2"/>
          </rPr>
          <t>Author:</t>
        </r>
        <r>
          <rPr>
            <sz val="9"/>
            <color indexed="81"/>
            <rFont val="Tahoma"/>
            <family val="2"/>
          </rPr>
          <t xml:space="preserve">
Contains Innovation #5 for All Debt vs Long-Term Debt</t>
        </r>
      </text>
    </comment>
    <comment ref="AE76" authorId="0" shapeId="0">
      <text>
        <r>
          <rPr>
            <b/>
            <sz val="9"/>
            <color indexed="81"/>
            <rFont val="Tahoma"/>
            <family val="2"/>
          </rPr>
          <t>Author:</t>
        </r>
        <r>
          <rPr>
            <sz val="9"/>
            <color indexed="81"/>
            <rFont val="Tahoma"/>
            <family val="2"/>
          </rPr>
          <t xml:space="preserve">
Contains Innovation #5 for All Debt vs Long-Term Debt</t>
        </r>
      </text>
    </comment>
    <comment ref="AF76" authorId="0" shapeId="0">
      <text>
        <r>
          <rPr>
            <b/>
            <sz val="9"/>
            <color indexed="81"/>
            <rFont val="Tahoma"/>
            <family val="2"/>
          </rPr>
          <t>Author:</t>
        </r>
        <r>
          <rPr>
            <sz val="9"/>
            <color indexed="81"/>
            <rFont val="Tahoma"/>
            <family val="2"/>
          </rPr>
          <t xml:space="preserve">
Contains Innovation #5 for All Debt vs Long-Term Debt</t>
        </r>
      </text>
    </comment>
    <comment ref="AG76" authorId="0" shapeId="0">
      <text>
        <r>
          <rPr>
            <b/>
            <sz val="9"/>
            <color indexed="81"/>
            <rFont val="Tahoma"/>
            <family val="2"/>
          </rPr>
          <t>Author:</t>
        </r>
        <r>
          <rPr>
            <sz val="9"/>
            <color indexed="81"/>
            <rFont val="Tahoma"/>
            <family val="2"/>
          </rPr>
          <t xml:space="preserve">
Contains Innovation #5 for All Debt vs Long-Term Debt</t>
        </r>
      </text>
    </comment>
    <comment ref="AB79" authorId="0" shapeId="0">
      <text>
        <r>
          <rPr>
            <b/>
            <sz val="9"/>
            <color indexed="81"/>
            <rFont val="Tahoma"/>
            <family val="2"/>
          </rPr>
          <t>Author:</t>
        </r>
        <r>
          <rPr>
            <sz val="9"/>
            <color indexed="81"/>
            <rFont val="Tahoma"/>
            <family val="2"/>
          </rPr>
          <t xml:space="preserve">
Contains Innovation #5 for All Debt vs Long-Term Debt</t>
        </r>
      </text>
    </comment>
    <comment ref="AC79" authorId="0" shapeId="0">
      <text>
        <r>
          <rPr>
            <b/>
            <sz val="9"/>
            <color indexed="81"/>
            <rFont val="Tahoma"/>
            <family val="2"/>
          </rPr>
          <t>Author:</t>
        </r>
        <r>
          <rPr>
            <sz val="9"/>
            <color indexed="81"/>
            <rFont val="Tahoma"/>
            <family val="2"/>
          </rPr>
          <t xml:space="preserve">
Contains Innovation #5 for All Debt vs Long-Term Debt</t>
        </r>
      </text>
    </comment>
    <comment ref="AD79" authorId="0" shapeId="0">
      <text>
        <r>
          <rPr>
            <b/>
            <sz val="9"/>
            <color indexed="81"/>
            <rFont val="Tahoma"/>
            <family val="2"/>
          </rPr>
          <t>Author:</t>
        </r>
        <r>
          <rPr>
            <sz val="9"/>
            <color indexed="81"/>
            <rFont val="Tahoma"/>
            <family val="2"/>
          </rPr>
          <t xml:space="preserve">
Contains Innovation #5 for All Debt vs Long-Term Debt</t>
        </r>
      </text>
    </comment>
    <comment ref="AE79" authorId="0" shapeId="0">
      <text>
        <r>
          <rPr>
            <b/>
            <sz val="9"/>
            <color indexed="81"/>
            <rFont val="Tahoma"/>
            <family val="2"/>
          </rPr>
          <t>Author:</t>
        </r>
        <r>
          <rPr>
            <sz val="9"/>
            <color indexed="81"/>
            <rFont val="Tahoma"/>
            <family val="2"/>
          </rPr>
          <t xml:space="preserve">
Contains Innovation #5 for All Debt vs Long-Term Debt</t>
        </r>
      </text>
    </comment>
    <comment ref="AF79" authorId="0" shapeId="0">
      <text>
        <r>
          <rPr>
            <b/>
            <sz val="9"/>
            <color indexed="81"/>
            <rFont val="Tahoma"/>
            <family val="2"/>
          </rPr>
          <t>Author:</t>
        </r>
        <r>
          <rPr>
            <sz val="9"/>
            <color indexed="81"/>
            <rFont val="Tahoma"/>
            <family val="2"/>
          </rPr>
          <t xml:space="preserve">
Contains Innovation #5 for All Debt vs Long-Term Debt</t>
        </r>
      </text>
    </comment>
    <comment ref="AG79" authorId="0" shapeId="0">
      <text>
        <r>
          <rPr>
            <b/>
            <sz val="9"/>
            <color indexed="81"/>
            <rFont val="Tahoma"/>
            <family val="2"/>
          </rPr>
          <t>Author:</t>
        </r>
        <r>
          <rPr>
            <sz val="9"/>
            <color indexed="81"/>
            <rFont val="Tahoma"/>
            <family val="2"/>
          </rPr>
          <t xml:space="preserve">
Contains Innovation #5 for All Debt vs Long-Term Debt</t>
        </r>
      </text>
    </comment>
    <comment ref="C80" authorId="0" shapeId="0">
      <text>
        <r>
          <rPr>
            <b/>
            <sz val="9"/>
            <color indexed="81"/>
            <rFont val="Tahoma"/>
            <family val="2"/>
          </rPr>
          <t>Author:</t>
        </r>
        <r>
          <rPr>
            <sz val="9"/>
            <color indexed="81"/>
            <rFont val="Tahoma"/>
            <family val="2"/>
          </rPr>
          <t xml:space="preserve">
The entered vlaues cannot be more than 100% or less than zero. </t>
        </r>
      </text>
    </comment>
    <comment ref="AH87" authorId="0" shapeId="0">
      <text>
        <r>
          <rPr>
            <b/>
            <sz val="9"/>
            <color indexed="81"/>
            <rFont val="Tahoma"/>
            <family val="2"/>
          </rPr>
          <t>Author:</t>
        </r>
        <r>
          <rPr>
            <sz val="9"/>
            <color indexed="81"/>
            <rFont val="Tahoma"/>
            <family val="2"/>
          </rPr>
          <t xml:space="preserve">
Contains Innovation #8 for User Entered Long-Term Growth Rate</t>
        </r>
      </text>
    </comment>
    <comment ref="AG89" authorId="0" shapeId="0">
      <text>
        <r>
          <rPr>
            <b/>
            <sz val="9"/>
            <color indexed="81"/>
            <rFont val="Tahoma"/>
            <family val="2"/>
          </rPr>
          <t>Author:</t>
        </r>
        <r>
          <rPr>
            <sz val="9"/>
            <color indexed="81"/>
            <rFont val="Tahoma"/>
            <family val="2"/>
          </rPr>
          <t xml:space="preserve">
Contains Innovation #7 for Terminal Value using P/E Ratio</t>
        </r>
      </text>
    </comment>
    <comment ref="A90" authorId="0" shapeId="0">
      <text>
        <r>
          <rPr>
            <b/>
            <sz val="9"/>
            <color indexed="81"/>
            <rFont val="Tahoma"/>
            <family val="2"/>
          </rPr>
          <t>Author:</t>
        </r>
        <r>
          <rPr>
            <sz val="9"/>
            <color indexed="81"/>
            <rFont val="Tahoma"/>
            <family val="2"/>
          </rPr>
          <t xml:space="preserve">
Please ensure that the lower limit of the Sales range in each cell does not exceed the upper limit which is defines in the bottom cell. </t>
        </r>
      </text>
    </comment>
    <comment ref="D90" authorId="0" shapeId="0">
      <text>
        <r>
          <rPr>
            <b/>
            <sz val="9"/>
            <color indexed="81"/>
            <rFont val="Tahoma"/>
            <family val="2"/>
          </rPr>
          <t>Author:</t>
        </r>
        <r>
          <rPr>
            <sz val="9"/>
            <color indexed="81"/>
            <rFont val="Tahoma"/>
            <family val="2"/>
          </rPr>
          <t xml:space="preserve">
The entered vlaues cannot be less than zero. </t>
        </r>
      </text>
    </comment>
    <comment ref="C98" authorId="0" shapeId="0">
      <text>
        <r>
          <rPr>
            <b/>
            <sz val="9"/>
            <color indexed="81"/>
            <rFont val="Tahoma"/>
            <family val="2"/>
          </rPr>
          <t>Author:</t>
        </r>
        <r>
          <rPr>
            <sz val="9"/>
            <color indexed="81"/>
            <rFont val="Tahoma"/>
            <family val="2"/>
          </rPr>
          <t xml:space="preserve">
The entered vlaues cannot be more than 100% or less than zero. </t>
        </r>
      </text>
    </comment>
    <comment ref="AB102" authorId="0" shapeId="0">
      <text>
        <r>
          <rPr>
            <b/>
            <sz val="9"/>
            <color indexed="81"/>
            <rFont val="Tahoma"/>
            <family val="2"/>
          </rPr>
          <t>Author:</t>
        </r>
        <r>
          <rPr>
            <sz val="9"/>
            <color indexed="81"/>
            <rFont val="Tahoma"/>
            <family val="2"/>
          </rPr>
          <t xml:space="preserve">
Contains Innovation #5 for All Debt vs Long-Term Debt</t>
        </r>
      </text>
    </comment>
    <comment ref="AC102" authorId="0" shapeId="0">
      <text>
        <r>
          <rPr>
            <b/>
            <sz val="9"/>
            <color indexed="81"/>
            <rFont val="Tahoma"/>
            <family val="2"/>
          </rPr>
          <t>Author:</t>
        </r>
        <r>
          <rPr>
            <sz val="9"/>
            <color indexed="81"/>
            <rFont val="Tahoma"/>
            <family val="2"/>
          </rPr>
          <t xml:space="preserve">
Contains Innovation #5 for All Debt vs Long-Term Debt</t>
        </r>
      </text>
    </comment>
    <comment ref="AD102" authorId="0" shapeId="0">
      <text>
        <r>
          <rPr>
            <b/>
            <sz val="9"/>
            <color indexed="81"/>
            <rFont val="Tahoma"/>
            <family val="2"/>
          </rPr>
          <t>Author:</t>
        </r>
        <r>
          <rPr>
            <sz val="9"/>
            <color indexed="81"/>
            <rFont val="Tahoma"/>
            <family val="2"/>
          </rPr>
          <t xml:space="preserve">
Contains Innovation #5 for All Debt vs Long-Term Debt</t>
        </r>
      </text>
    </comment>
    <comment ref="AE102" authorId="0" shapeId="0">
      <text>
        <r>
          <rPr>
            <b/>
            <sz val="9"/>
            <color indexed="81"/>
            <rFont val="Tahoma"/>
            <family val="2"/>
          </rPr>
          <t>Author:</t>
        </r>
        <r>
          <rPr>
            <sz val="9"/>
            <color indexed="81"/>
            <rFont val="Tahoma"/>
            <family val="2"/>
          </rPr>
          <t xml:space="preserve">
Contains Innovation #5 for All Debt vs Long-Term Debt</t>
        </r>
      </text>
    </comment>
    <comment ref="AF102" authorId="0" shapeId="0">
      <text>
        <r>
          <rPr>
            <b/>
            <sz val="9"/>
            <color indexed="81"/>
            <rFont val="Tahoma"/>
            <family val="2"/>
          </rPr>
          <t>Author:</t>
        </r>
        <r>
          <rPr>
            <sz val="9"/>
            <color indexed="81"/>
            <rFont val="Tahoma"/>
            <family val="2"/>
          </rPr>
          <t xml:space="preserve">
Contains Innovation #5 for All Debt vs Long-Term Debt</t>
        </r>
      </text>
    </comment>
    <comment ref="AG102" authorId="0" shapeId="0">
      <text>
        <r>
          <rPr>
            <b/>
            <sz val="9"/>
            <color indexed="81"/>
            <rFont val="Tahoma"/>
            <family val="2"/>
          </rPr>
          <t>Author:</t>
        </r>
        <r>
          <rPr>
            <sz val="9"/>
            <color indexed="81"/>
            <rFont val="Tahoma"/>
            <family val="2"/>
          </rPr>
          <t xml:space="preserve">
Contains Innovation #5 for All Debt vs Long-Term Debt</t>
        </r>
      </text>
    </comment>
    <comment ref="AB104" authorId="0" shapeId="0">
      <text>
        <r>
          <rPr>
            <b/>
            <sz val="9"/>
            <color indexed="81"/>
            <rFont val="Tahoma"/>
            <family val="2"/>
          </rPr>
          <t>Author:</t>
        </r>
        <r>
          <rPr>
            <sz val="9"/>
            <color indexed="81"/>
            <rFont val="Tahoma"/>
            <family val="2"/>
          </rPr>
          <t xml:space="preserve">
Contains Innovation #5 for All Debt vs Long-Term Debt</t>
        </r>
      </text>
    </comment>
    <comment ref="AC104" authorId="0" shapeId="0">
      <text>
        <r>
          <rPr>
            <b/>
            <sz val="9"/>
            <color indexed="81"/>
            <rFont val="Tahoma"/>
            <family val="2"/>
          </rPr>
          <t>Author:</t>
        </r>
        <r>
          <rPr>
            <sz val="9"/>
            <color indexed="81"/>
            <rFont val="Tahoma"/>
            <family val="2"/>
          </rPr>
          <t xml:space="preserve">
Contains Innovation #5 for All Debt vs Long-Term Debt</t>
        </r>
      </text>
    </comment>
    <comment ref="AD104" authorId="0" shapeId="0">
      <text>
        <r>
          <rPr>
            <b/>
            <sz val="9"/>
            <color indexed="81"/>
            <rFont val="Tahoma"/>
            <family val="2"/>
          </rPr>
          <t>Author:</t>
        </r>
        <r>
          <rPr>
            <sz val="9"/>
            <color indexed="81"/>
            <rFont val="Tahoma"/>
            <family val="2"/>
          </rPr>
          <t xml:space="preserve">
Contains Innovation #5 for All Debt vs Long-Term Debt</t>
        </r>
      </text>
    </comment>
    <comment ref="AE104" authorId="0" shapeId="0">
      <text>
        <r>
          <rPr>
            <b/>
            <sz val="9"/>
            <color indexed="81"/>
            <rFont val="Tahoma"/>
            <family val="2"/>
          </rPr>
          <t>Author:</t>
        </r>
        <r>
          <rPr>
            <sz val="9"/>
            <color indexed="81"/>
            <rFont val="Tahoma"/>
            <family val="2"/>
          </rPr>
          <t xml:space="preserve">
Contains Innovation #5 for All Debt vs Long-Term Debt</t>
        </r>
      </text>
    </comment>
    <comment ref="AF104" authorId="0" shapeId="0">
      <text>
        <r>
          <rPr>
            <b/>
            <sz val="9"/>
            <color indexed="81"/>
            <rFont val="Tahoma"/>
            <family val="2"/>
          </rPr>
          <t>Author:</t>
        </r>
        <r>
          <rPr>
            <sz val="9"/>
            <color indexed="81"/>
            <rFont val="Tahoma"/>
            <family val="2"/>
          </rPr>
          <t xml:space="preserve">
Contains Innovation #5 for All Debt vs Long-Term Debt</t>
        </r>
      </text>
    </comment>
    <comment ref="AG104" authorId="0" shapeId="0">
      <text>
        <r>
          <rPr>
            <b/>
            <sz val="9"/>
            <color indexed="81"/>
            <rFont val="Tahoma"/>
            <family val="2"/>
          </rPr>
          <t>Author:</t>
        </r>
        <r>
          <rPr>
            <sz val="9"/>
            <color indexed="81"/>
            <rFont val="Tahoma"/>
            <family val="2"/>
          </rPr>
          <t xml:space="preserve">
Contains Innovation #5 for All Debt vs Long-Term Debt</t>
        </r>
      </text>
    </comment>
    <comment ref="AB105" authorId="0" shapeId="0">
      <text>
        <r>
          <rPr>
            <b/>
            <sz val="9"/>
            <color indexed="81"/>
            <rFont val="Tahoma"/>
            <family val="2"/>
          </rPr>
          <t>Author:</t>
        </r>
        <r>
          <rPr>
            <sz val="9"/>
            <color indexed="81"/>
            <rFont val="Tahoma"/>
            <family val="2"/>
          </rPr>
          <t xml:space="preserve">
Contains Innovation #5 for All Debt vs Long-Term Debt</t>
        </r>
      </text>
    </comment>
    <comment ref="AC105" authorId="0" shapeId="0">
      <text>
        <r>
          <rPr>
            <b/>
            <sz val="9"/>
            <color indexed="81"/>
            <rFont val="Tahoma"/>
            <family val="2"/>
          </rPr>
          <t>Author:</t>
        </r>
        <r>
          <rPr>
            <sz val="9"/>
            <color indexed="81"/>
            <rFont val="Tahoma"/>
            <family val="2"/>
          </rPr>
          <t xml:space="preserve">
Contains Innovation #5 for All Debt vs Long-Term Debt</t>
        </r>
      </text>
    </comment>
    <comment ref="AD105" authorId="0" shapeId="0">
      <text>
        <r>
          <rPr>
            <b/>
            <sz val="9"/>
            <color indexed="81"/>
            <rFont val="Tahoma"/>
            <family val="2"/>
          </rPr>
          <t>Author:</t>
        </r>
        <r>
          <rPr>
            <sz val="9"/>
            <color indexed="81"/>
            <rFont val="Tahoma"/>
            <family val="2"/>
          </rPr>
          <t xml:space="preserve">
Contains Innovation #5 for All Debt vs Long-Term Debt</t>
        </r>
      </text>
    </comment>
    <comment ref="AE105" authorId="0" shapeId="0">
      <text>
        <r>
          <rPr>
            <b/>
            <sz val="9"/>
            <color indexed="81"/>
            <rFont val="Tahoma"/>
            <family val="2"/>
          </rPr>
          <t>Author:</t>
        </r>
        <r>
          <rPr>
            <sz val="9"/>
            <color indexed="81"/>
            <rFont val="Tahoma"/>
            <family val="2"/>
          </rPr>
          <t xml:space="preserve">
Contains Innovation #5 for All Debt vs Long-Term Debt</t>
        </r>
      </text>
    </comment>
    <comment ref="AF105" authorId="0" shapeId="0">
      <text>
        <r>
          <rPr>
            <b/>
            <sz val="9"/>
            <color indexed="81"/>
            <rFont val="Tahoma"/>
            <family val="2"/>
          </rPr>
          <t>Author:</t>
        </r>
        <r>
          <rPr>
            <sz val="9"/>
            <color indexed="81"/>
            <rFont val="Tahoma"/>
            <family val="2"/>
          </rPr>
          <t xml:space="preserve">
Contains Innovation #5 for All Debt vs Long-Term Debt</t>
        </r>
      </text>
    </comment>
    <comment ref="AG105" authorId="0" shapeId="0">
      <text>
        <r>
          <rPr>
            <b/>
            <sz val="9"/>
            <color indexed="81"/>
            <rFont val="Tahoma"/>
            <family val="2"/>
          </rPr>
          <t>Author:</t>
        </r>
        <r>
          <rPr>
            <sz val="9"/>
            <color indexed="81"/>
            <rFont val="Tahoma"/>
            <family val="2"/>
          </rPr>
          <t xml:space="preserve">
Contains Innovation #5 for All Debt vs Long-Term Debt</t>
        </r>
      </text>
    </comment>
    <comment ref="C106" authorId="0" shapeId="0">
      <text>
        <r>
          <rPr>
            <b/>
            <sz val="9"/>
            <color indexed="81"/>
            <rFont val="Tahoma"/>
            <family val="2"/>
          </rPr>
          <t>Author:</t>
        </r>
        <r>
          <rPr>
            <sz val="9"/>
            <color indexed="81"/>
            <rFont val="Tahoma"/>
            <family val="2"/>
          </rPr>
          <t xml:space="preserve">
The entered value has to be a NUMBER.</t>
        </r>
      </text>
    </comment>
    <comment ref="AB108" authorId="0" shapeId="0">
      <text>
        <r>
          <rPr>
            <b/>
            <sz val="9"/>
            <color indexed="81"/>
            <rFont val="Tahoma"/>
            <family val="2"/>
          </rPr>
          <t>Author:</t>
        </r>
        <r>
          <rPr>
            <sz val="9"/>
            <color indexed="81"/>
            <rFont val="Tahoma"/>
            <family val="2"/>
          </rPr>
          <t xml:space="preserve">
Contains Innovation #5 for All Debt vs Long-Term Debt</t>
        </r>
      </text>
    </comment>
    <comment ref="AC108" authorId="0" shapeId="0">
      <text>
        <r>
          <rPr>
            <b/>
            <sz val="9"/>
            <color indexed="81"/>
            <rFont val="Tahoma"/>
            <family val="2"/>
          </rPr>
          <t>Author:</t>
        </r>
        <r>
          <rPr>
            <sz val="9"/>
            <color indexed="81"/>
            <rFont val="Tahoma"/>
            <family val="2"/>
          </rPr>
          <t xml:space="preserve">
Contains Innovation #5 for All Debt vs Long-Term Debt</t>
        </r>
      </text>
    </comment>
    <comment ref="AD108" authorId="0" shapeId="0">
      <text>
        <r>
          <rPr>
            <b/>
            <sz val="9"/>
            <color indexed="81"/>
            <rFont val="Tahoma"/>
            <family val="2"/>
          </rPr>
          <t>Author:</t>
        </r>
        <r>
          <rPr>
            <sz val="9"/>
            <color indexed="81"/>
            <rFont val="Tahoma"/>
            <family val="2"/>
          </rPr>
          <t xml:space="preserve">
Contains Innovation #5 for All Debt vs Long-Term Debt</t>
        </r>
      </text>
    </comment>
    <comment ref="AE108" authorId="0" shapeId="0">
      <text>
        <r>
          <rPr>
            <b/>
            <sz val="9"/>
            <color indexed="81"/>
            <rFont val="Tahoma"/>
            <family val="2"/>
          </rPr>
          <t>Author:</t>
        </r>
        <r>
          <rPr>
            <sz val="9"/>
            <color indexed="81"/>
            <rFont val="Tahoma"/>
            <family val="2"/>
          </rPr>
          <t xml:space="preserve">
Contains Innovation #5 for All Debt vs Long-Term Debt</t>
        </r>
      </text>
    </comment>
    <comment ref="AF108" authorId="0" shapeId="0">
      <text>
        <r>
          <rPr>
            <b/>
            <sz val="9"/>
            <color indexed="81"/>
            <rFont val="Tahoma"/>
            <family val="2"/>
          </rPr>
          <t>Author:</t>
        </r>
        <r>
          <rPr>
            <sz val="9"/>
            <color indexed="81"/>
            <rFont val="Tahoma"/>
            <family val="2"/>
          </rPr>
          <t xml:space="preserve">
Contains Innovation #5 for All Debt vs Long-Term Debt</t>
        </r>
      </text>
    </comment>
    <comment ref="AG108" authorId="0" shapeId="0">
      <text>
        <r>
          <rPr>
            <b/>
            <sz val="9"/>
            <color indexed="81"/>
            <rFont val="Tahoma"/>
            <family val="2"/>
          </rPr>
          <t>Author:</t>
        </r>
        <r>
          <rPr>
            <sz val="9"/>
            <color indexed="81"/>
            <rFont val="Tahoma"/>
            <family val="2"/>
          </rPr>
          <t xml:space="preserve">
Contains Innovation #5 for All Debt vs Long-Term Debt</t>
        </r>
      </text>
    </comment>
    <comment ref="C113" authorId="0" shapeId="0">
      <text>
        <r>
          <rPr>
            <b/>
            <sz val="9"/>
            <color indexed="81"/>
            <rFont val="Tahoma"/>
            <family val="2"/>
          </rPr>
          <t>Author:</t>
        </r>
        <r>
          <rPr>
            <sz val="9"/>
            <color indexed="81"/>
            <rFont val="Tahoma"/>
            <family val="2"/>
          </rPr>
          <t xml:space="preserve">
The entered vlaues cannot be more than 100% or less than zero.</t>
        </r>
      </text>
    </comment>
    <comment ref="AH116" authorId="0" shapeId="0">
      <text>
        <r>
          <rPr>
            <b/>
            <sz val="9"/>
            <color indexed="81"/>
            <rFont val="Tahoma"/>
            <family val="2"/>
          </rPr>
          <t>Author:</t>
        </r>
        <r>
          <rPr>
            <sz val="9"/>
            <color indexed="81"/>
            <rFont val="Tahoma"/>
            <family val="2"/>
          </rPr>
          <t xml:space="preserve">
Contains Innovation #8 for User Entered Long-Term Growth Rate</t>
        </r>
      </text>
    </comment>
    <comment ref="AG118" authorId="0" shapeId="0">
      <text>
        <r>
          <rPr>
            <b/>
            <sz val="9"/>
            <color indexed="81"/>
            <rFont val="Tahoma"/>
            <family val="2"/>
          </rPr>
          <t>Author:</t>
        </r>
        <r>
          <rPr>
            <sz val="9"/>
            <color indexed="81"/>
            <rFont val="Tahoma"/>
            <family val="2"/>
          </rPr>
          <t xml:space="preserve">
Contains Innovation #7 for Terminal Value using P/E Ratio</t>
        </r>
      </text>
    </comment>
    <comment ref="C119" authorId="0" shapeId="0">
      <text>
        <r>
          <rPr>
            <b/>
            <sz val="9"/>
            <color indexed="81"/>
            <rFont val="Tahoma"/>
            <family val="2"/>
          </rPr>
          <t>Author:</t>
        </r>
        <r>
          <rPr>
            <sz val="9"/>
            <color indexed="81"/>
            <rFont val="Tahoma"/>
            <family val="2"/>
          </rPr>
          <t xml:space="preserve">
The entered vlaues cannot be more than 100% or less than zero.</t>
        </r>
      </text>
    </comment>
    <comment ref="C125" authorId="0" shapeId="0">
      <text>
        <r>
          <rPr>
            <b/>
            <sz val="9"/>
            <color indexed="81"/>
            <rFont val="Tahoma"/>
            <family val="2"/>
          </rPr>
          <t>Author:</t>
        </r>
        <r>
          <rPr>
            <sz val="9"/>
            <color indexed="81"/>
            <rFont val="Tahoma"/>
            <family val="2"/>
          </rPr>
          <t xml:space="preserve">
The entered vlaues cannot be more than the World GDP growth rate or less than zero.</t>
        </r>
      </text>
    </comment>
    <comment ref="AC133" authorId="0" shapeId="0">
      <text>
        <r>
          <rPr>
            <b/>
            <sz val="9"/>
            <color indexed="81"/>
            <rFont val="Tahoma"/>
            <family val="2"/>
          </rPr>
          <t>Author:</t>
        </r>
        <r>
          <rPr>
            <sz val="9"/>
            <color indexed="81"/>
            <rFont val="Tahoma"/>
            <family val="2"/>
          </rPr>
          <t xml:space="preserve">
Contains Innovation #6 for Progressive Tax Rate Schedule</t>
        </r>
      </text>
    </comment>
    <comment ref="AD133" authorId="0" shapeId="0">
      <text>
        <r>
          <rPr>
            <b/>
            <sz val="9"/>
            <color indexed="81"/>
            <rFont val="Tahoma"/>
            <family val="2"/>
          </rPr>
          <t>Author:</t>
        </r>
        <r>
          <rPr>
            <sz val="9"/>
            <color indexed="81"/>
            <rFont val="Tahoma"/>
            <family val="2"/>
          </rPr>
          <t xml:space="preserve">
Contains Innovation #6 for Progressive Tax Rate Schedule</t>
        </r>
      </text>
    </comment>
    <comment ref="AE133" authorId="0" shapeId="0">
      <text>
        <r>
          <rPr>
            <b/>
            <sz val="9"/>
            <color indexed="81"/>
            <rFont val="Tahoma"/>
            <family val="2"/>
          </rPr>
          <t>Author:</t>
        </r>
        <r>
          <rPr>
            <sz val="9"/>
            <color indexed="81"/>
            <rFont val="Tahoma"/>
            <family val="2"/>
          </rPr>
          <t xml:space="preserve">
Contains Innovation #6 for Progressive Tax Rate Schedule</t>
        </r>
      </text>
    </comment>
    <comment ref="AF133" authorId="0" shapeId="0">
      <text>
        <r>
          <rPr>
            <b/>
            <sz val="9"/>
            <color indexed="81"/>
            <rFont val="Tahoma"/>
            <family val="2"/>
          </rPr>
          <t>Author:</t>
        </r>
        <r>
          <rPr>
            <sz val="9"/>
            <color indexed="81"/>
            <rFont val="Tahoma"/>
            <family val="2"/>
          </rPr>
          <t xml:space="preserve">
Contains Innovation #6 for Progressive Tax Rate Schedule</t>
        </r>
      </text>
    </comment>
    <comment ref="AG133" authorId="0" shapeId="0">
      <text>
        <r>
          <rPr>
            <b/>
            <sz val="9"/>
            <color indexed="81"/>
            <rFont val="Tahoma"/>
            <family val="2"/>
          </rPr>
          <t>Author:</t>
        </r>
        <r>
          <rPr>
            <sz val="9"/>
            <color indexed="81"/>
            <rFont val="Tahoma"/>
            <family val="2"/>
          </rPr>
          <t xml:space="preserve">
Contains Innovation #6 for Progressive Tax Rate Schedule</t>
        </r>
      </text>
    </comment>
  </commentList>
</comments>
</file>

<file path=xl/sharedStrings.xml><?xml version="1.0" encoding="utf-8"?>
<sst xmlns="http://schemas.openxmlformats.org/spreadsheetml/2006/main" count="331" uniqueCount="156">
  <si>
    <t>Sales</t>
  </si>
  <si>
    <t>Interest Income</t>
  </si>
  <si>
    <t>Total Revenues</t>
  </si>
  <si>
    <t>Cost of Sales</t>
  </si>
  <si>
    <t>Depreciation</t>
  </si>
  <si>
    <t>Debt Issuance Cost</t>
  </si>
  <si>
    <t>Common Stock Issuance Cost</t>
  </si>
  <si>
    <t>Common Stock Repurchase Cost</t>
  </si>
  <si>
    <t>Earnings Before Interest and Taxes</t>
  </si>
  <si>
    <t>Interest Expense</t>
  </si>
  <si>
    <t>Earnings Before Taxes</t>
  </si>
  <si>
    <t>Taxes</t>
  </si>
  <si>
    <t>Net Income</t>
  </si>
  <si>
    <t>Dividends</t>
  </si>
  <si>
    <t>Addition to Retained Earnings</t>
  </si>
  <si>
    <t>INCOME STATEMENT</t>
  </si>
  <si>
    <t>Current Assets</t>
  </si>
  <si>
    <t>Gross Fixed Assets</t>
  </si>
  <si>
    <t>Accumulated Depreciation</t>
  </si>
  <si>
    <t>Net Fixed Assets</t>
  </si>
  <si>
    <t>Total Assets</t>
  </si>
  <si>
    <t>Current Liabilities</t>
  </si>
  <si>
    <t>Long-term Debt (Face Value)</t>
  </si>
  <si>
    <t>Accumulated Retained Earnings</t>
  </si>
  <si>
    <t>Accounts Receivable</t>
  </si>
  <si>
    <t>Inventories</t>
  </si>
  <si>
    <t>Cash and Marketable Securities</t>
  </si>
  <si>
    <t>Accounts Payable</t>
  </si>
  <si>
    <t>Short-term Debt</t>
  </si>
  <si>
    <t>Total Liabilities</t>
  </si>
  <si>
    <t>Common Stock (Par + Additional Paid-in Capital)</t>
  </si>
  <si>
    <t>BALANCE SHEET</t>
  </si>
  <si>
    <t>Total Stockholders' Equity</t>
  </si>
  <si>
    <t>Total Liabilities and Stockholders' Equity</t>
  </si>
  <si>
    <t>Cash and Marketable Securities/Sales</t>
  </si>
  <si>
    <t>Accounts Receivable/Sales</t>
  </si>
  <si>
    <t>Inventories/Sales</t>
  </si>
  <si>
    <t>Accounts Payable/Sales</t>
  </si>
  <si>
    <t>Short-term Debt/Sales</t>
  </si>
  <si>
    <t>Parameters</t>
  </si>
  <si>
    <t>Company</t>
  </si>
  <si>
    <t>Year 0 Financial Statements</t>
  </si>
  <si>
    <t>Income Statement</t>
  </si>
  <si>
    <t>Samna Corporation</t>
  </si>
  <si>
    <t>Balance Sheet</t>
  </si>
  <si>
    <t>Number of Shares Outstanding</t>
  </si>
  <si>
    <t>Cost of Sales/Sales</t>
  </si>
  <si>
    <t>Tax Rate</t>
  </si>
  <si>
    <t>Dividend Payout Ratio</t>
  </si>
  <si>
    <t>Income Statement Characteristics</t>
  </si>
  <si>
    <t>Sales Growth Rate</t>
  </si>
  <si>
    <t>Balance Sheet Characteristics</t>
  </si>
  <si>
    <t>Depreciation/Net Fixed Assets</t>
  </si>
  <si>
    <t>Fixed Assets Schedule</t>
  </si>
  <si>
    <t>NFA/Sales</t>
  </si>
  <si>
    <t>Interest Rates</t>
  </si>
  <si>
    <t>Coupon Rate on Legacy Long-term Debt</t>
  </si>
  <si>
    <t>Expected Risk-free Rate of Return</t>
  </si>
  <si>
    <t>Market Risk Premium</t>
  </si>
  <si>
    <t>Risk Premium For Short term Debt</t>
  </si>
  <si>
    <t>Convenience Fees on Cash and Marketable Securities Account</t>
  </si>
  <si>
    <t>Risk of Securities</t>
  </si>
  <si>
    <t>Beta of Cash and Marketable Securities</t>
  </si>
  <si>
    <t>Beta of Short-term Debt</t>
  </si>
  <si>
    <t>Beta of Long-term Debt</t>
  </si>
  <si>
    <t>Beta of Common Stock</t>
  </si>
  <si>
    <t>Cost and fees</t>
  </si>
  <si>
    <t>Issuing Cost for Long-term Debt</t>
  </si>
  <si>
    <t>Issuing Cost for Common Stock</t>
  </si>
  <si>
    <t>Brokerage Fee When Buying Back the Common Stock</t>
  </si>
  <si>
    <t>Long term managerial performance</t>
  </si>
  <si>
    <t>Managers' Alpha</t>
  </si>
  <si>
    <t>Advanced Switches</t>
  </si>
  <si>
    <t>Valuation Based on Which Cash Flow?</t>
  </si>
  <si>
    <t>Dividends per Share</t>
  </si>
  <si>
    <t>Calculated</t>
  </si>
  <si>
    <t>Financial Statements For Valuation</t>
  </si>
  <si>
    <t>Year</t>
  </si>
  <si>
    <t>FINANCING</t>
  </si>
  <si>
    <t>Interest Rate on Cash and Marketable Securities</t>
  </si>
  <si>
    <t>Interest Rate on Short-term Debt</t>
  </si>
  <si>
    <t>Coupon Rate on New Long-term Debt</t>
  </si>
  <si>
    <t>Legacy Long-term Debt Retired</t>
  </si>
  <si>
    <t>Legacy Long-term Debt Outstanding</t>
  </si>
  <si>
    <t>New Long-term Debt Issued</t>
  </si>
  <si>
    <t>Cumulative New Long-term Debt</t>
  </si>
  <si>
    <t>Long-term Debt/Assets</t>
  </si>
  <si>
    <t>Target Long-term Debt/Assets</t>
  </si>
  <si>
    <t>New Common Stock Issued</t>
  </si>
  <si>
    <t>Total External Financing</t>
  </si>
  <si>
    <t>VALUATION USING DIVIDENDS PER SHARE</t>
  </si>
  <si>
    <t>RISK AND COST OF CAPITAL</t>
  </si>
  <si>
    <t>VALUATION</t>
  </si>
  <si>
    <t>Debt/Equity</t>
  </si>
  <si>
    <t>Beta of Assets</t>
  </si>
  <si>
    <t>Beta of Debt</t>
  </si>
  <si>
    <t>Marginal Cost of Debt</t>
  </si>
  <si>
    <t>Beta of Equity</t>
  </si>
  <si>
    <t>Expected Return on Equity</t>
  </si>
  <si>
    <t>WACC</t>
  </si>
  <si>
    <t>Dividend per Share (DPS)</t>
  </si>
  <si>
    <t>Return on Retained Earnings</t>
  </si>
  <si>
    <t>Long-term Dividend Growth Rate</t>
  </si>
  <si>
    <t>Market Value of Stock per Share</t>
  </si>
  <si>
    <t>Shares Issued</t>
  </si>
  <si>
    <t>Shares Outstanding</t>
  </si>
  <si>
    <t>Market Value of Equity</t>
  </si>
  <si>
    <t>Market Value of the Firm</t>
  </si>
  <si>
    <t>VALUES FOR CHARTS</t>
  </si>
  <si>
    <t>Book Value of Stock per Share</t>
  </si>
  <si>
    <t>Earnings per Share (EPS)</t>
  </si>
  <si>
    <t>Beta of Stock</t>
  </si>
  <si>
    <t>P/E Ratio</t>
  </si>
  <si>
    <t>Market to Book Ratio</t>
  </si>
  <si>
    <t>Expected Stock Return</t>
  </si>
  <si>
    <t>Realized Stock Return</t>
  </si>
  <si>
    <t>Expected Dividend Yield</t>
  </si>
  <si>
    <t>Realized Dividend Yield</t>
  </si>
  <si>
    <t>Revenue Growth Rate</t>
  </si>
  <si>
    <t>Earnings Growth Rate</t>
  </si>
  <si>
    <t>Dividend Growth Rate</t>
  </si>
  <si>
    <t>EPS Growth Rate</t>
  </si>
  <si>
    <t>DPS Growth Rate</t>
  </si>
  <si>
    <t>VALUATION USING FCFE PER SHARE</t>
  </si>
  <si>
    <t>FCFE per share</t>
  </si>
  <si>
    <t>Long-term FCFE per share Growth Rate</t>
  </si>
  <si>
    <t>Market value of equity per share</t>
  </si>
  <si>
    <t>Shares issued</t>
  </si>
  <si>
    <t>Shares outstanding</t>
  </si>
  <si>
    <t>Dividend per Share</t>
  </si>
  <si>
    <t>Switches</t>
  </si>
  <si>
    <t>Yes</t>
  </si>
  <si>
    <t>No</t>
  </si>
  <si>
    <t>Innovation Name</t>
  </si>
  <si>
    <t>Adjusted Tax rate (For Tax Switch)</t>
  </si>
  <si>
    <t>But not Over …</t>
  </si>
  <si>
    <t>Over …</t>
  </si>
  <si>
    <t>Tax is:</t>
  </si>
  <si>
    <t>- - - - -</t>
  </si>
  <si>
    <t>Of the amount over ...</t>
  </si>
  <si>
    <t>Tax Rate Schedule</t>
  </si>
  <si>
    <t>If taxable income (line 30, Form 1120) on page 1 is:</t>
  </si>
  <si>
    <t>Constant Growth Rate</t>
  </si>
  <si>
    <t>P/E ratio</t>
  </si>
  <si>
    <t>Other Required Information</t>
  </si>
  <si>
    <t>User Specified</t>
  </si>
  <si>
    <t>1- Restore Factory Inputs</t>
  </si>
  <si>
    <t>2- Save and Restore User Inputs</t>
  </si>
  <si>
    <t>3- Interest Calculation Switch</t>
  </si>
  <si>
    <t>4- Economies of Scale for Cost of Sales</t>
  </si>
  <si>
    <t>5- All Debt vs Long-Term Debt</t>
  </si>
  <si>
    <t>6- Progressive Tax Rate Schedule</t>
  </si>
  <si>
    <t>7- Terminal Value Calculation Method</t>
  </si>
  <si>
    <t>8- Long-term Growth Rate Method</t>
  </si>
  <si>
    <t>Long-Term (Perpetual) Growth Rate for Dividend</t>
  </si>
  <si>
    <r>
      <rPr>
        <b/>
        <sz val="14"/>
        <color theme="1"/>
        <rFont val="Calibri"/>
        <family val="2"/>
        <scheme val="minor"/>
      </rPr>
      <t>User Manual for the "Forecasting Financial Statements and Valuation" Financial Modeling Excel File</t>
    </r>
    <r>
      <rPr>
        <sz val="12"/>
        <color theme="1"/>
        <rFont val="Calibri"/>
        <family val="2"/>
        <scheme val="minor"/>
      </rPr>
      <t xml:space="preserve">
Welcome to the user manual for the "Forecasting Financial Statements and Valuation" Financial Modeling Excel File. This tool is designed to assist users in utilizing a model that forecasts a firm’s financial statements for a period of five years and then utilizes discounted projected dividends to estimate the value of the stock.
</t>
    </r>
    <r>
      <rPr>
        <b/>
        <sz val="14"/>
        <color theme="1"/>
        <rFont val="Calibri"/>
        <family val="2"/>
        <scheme val="minor"/>
      </rPr>
      <t>Getting Started</t>
    </r>
    <r>
      <rPr>
        <sz val="12"/>
        <color theme="1"/>
        <rFont val="Calibri"/>
        <family val="2"/>
        <scheme val="minor"/>
      </rPr>
      <t xml:space="preserve">
</t>
    </r>
    <r>
      <rPr>
        <b/>
        <sz val="12"/>
        <color theme="1"/>
        <rFont val="Calibri"/>
        <family val="2"/>
        <scheme val="minor"/>
      </rPr>
      <t>1. Opening the File:</t>
    </r>
    <r>
      <rPr>
        <sz val="12"/>
        <color theme="1"/>
        <rFont val="Calibri"/>
        <family val="2"/>
        <scheme val="minor"/>
      </rPr>
      <t xml:space="preserve"> Simply double-click on the Financial Modeling Excel File to open it in Microsoft Excel.
</t>
    </r>
    <r>
      <rPr>
        <b/>
        <sz val="12"/>
        <color theme="1"/>
        <rFont val="Calibri"/>
        <family val="2"/>
        <scheme val="minor"/>
      </rPr>
      <t xml:space="preserve">2. Navigation: </t>
    </r>
    <r>
      <rPr>
        <sz val="12"/>
        <color theme="1"/>
        <rFont val="Calibri"/>
        <family val="2"/>
        <scheme val="minor"/>
      </rPr>
      <t xml:space="preserve">Upon opening, you will find two worksheets. Utilize the "Forecasting Model" sheet to access the forecasting model for Samna Corporation.
</t>
    </r>
    <r>
      <rPr>
        <b/>
        <sz val="12"/>
        <color theme="1"/>
        <rFont val="Calibri"/>
        <family val="2"/>
        <scheme val="minor"/>
      </rPr>
      <t>3. Dashboard:</t>
    </r>
    <r>
      <rPr>
        <sz val="12"/>
        <color theme="1"/>
        <rFont val="Calibri"/>
        <family val="2"/>
        <scheme val="minor"/>
      </rPr>
      <t xml:space="preserve"> The "Forecasting Model" sheet features a dashboard with values indicated as </t>
    </r>
    <r>
      <rPr>
        <sz val="12"/>
        <color theme="9" tint="-0.249977111117893"/>
        <rFont val="Calibri"/>
        <family val="2"/>
        <scheme val="minor"/>
      </rPr>
      <t>1234</t>
    </r>
    <r>
      <rPr>
        <sz val="12"/>
        <color theme="1"/>
        <rFont val="Calibri"/>
        <family val="2"/>
        <scheme val="minor"/>
      </rPr>
      <t xml:space="preserve"> within </t>
    </r>
    <r>
      <rPr>
        <sz val="12"/>
        <color theme="9" tint="-0.249977111117893"/>
        <rFont val="Calibri"/>
        <family val="2"/>
        <scheme val="minor"/>
      </rPr>
      <t>orange cells</t>
    </r>
    <r>
      <rPr>
        <sz val="12"/>
        <color theme="1"/>
        <rFont val="Calibri"/>
        <family val="2"/>
        <scheme val="minor"/>
      </rPr>
      <t xml:space="preserve">, serving as sample user inputs to the model, which can be modified by the user. Changing these cells will affect the forecasted value for the company's stock. The final estimated stock value can be observed in the orange box on the right side of the dashboard. Each cell incorporates data validation and consistency checks to ensure accurate entry of numbers. If a "True" value turns "False" or if the color of any cell changes to red, it indicates incorrect entry, prompting users to review comments within each cell to prevent errors.
</t>
    </r>
    <r>
      <rPr>
        <b/>
        <sz val="12"/>
        <color theme="1"/>
        <rFont val="Calibri"/>
        <family val="2"/>
        <scheme val="minor"/>
      </rPr>
      <t xml:space="preserve">4. Additional innovations: </t>
    </r>
    <r>
      <rPr>
        <sz val="12"/>
        <color theme="1"/>
        <rFont val="Calibri"/>
        <family val="2"/>
        <scheme val="minor"/>
      </rPr>
      <t xml:space="preserve">Scroll to the bottom of the model to discover additional innovations offering more sophisticated estimation options. Each innovation features a respective switch labeled "Yes" or "No," where "Yes" indicates activation.
</t>
    </r>
    <r>
      <rPr>
        <b/>
        <sz val="12"/>
        <color theme="1"/>
        <rFont val="Calibri"/>
        <family val="2"/>
        <scheme val="minor"/>
      </rPr>
      <t xml:space="preserve">5. Valuation Models: </t>
    </r>
    <r>
      <rPr>
        <sz val="12"/>
        <color theme="1"/>
        <rFont val="Calibri"/>
        <family val="2"/>
        <scheme val="minor"/>
      </rPr>
      <t xml:space="preserve">This model conducts valuation based on two cash flow methods: (1) dividend per share and (2) free cash flow to equity (FCFE). In cell B130, users can select the appropriate model for valuation.
</t>
    </r>
    <r>
      <rPr>
        <b/>
        <sz val="12"/>
        <color theme="1"/>
        <rFont val="Calibri"/>
        <family val="2"/>
        <scheme val="minor"/>
      </rPr>
      <t xml:space="preserve">6. Graphs: </t>
    </r>
    <r>
      <rPr>
        <sz val="12"/>
        <color theme="1"/>
        <rFont val="Calibri"/>
        <family val="2"/>
        <scheme val="minor"/>
      </rPr>
      <t xml:space="preserve">Scrolling to the right, you'll find helpful graphs for a more comprehensive understanding of the company.
</t>
    </r>
    <r>
      <rPr>
        <sz val="14"/>
        <color theme="1"/>
        <rFont val="Calibri"/>
        <family val="2"/>
        <scheme val="minor"/>
      </rPr>
      <t xml:space="preserve">
</t>
    </r>
    <r>
      <rPr>
        <b/>
        <sz val="14"/>
        <color theme="1"/>
        <rFont val="Calibri"/>
        <family val="2"/>
        <scheme val="minor"/>
      </rPr>
      <t xml:space="preserve">Switches definition: </t>
    </r>
    <r>
      <rPr>
        <sz val="14"/>
        <color theme="1"/>
        <rFont val="Calibri"/>
        <family val="2"/>
        <scheme val="minor"/>
      </rPr>
      <t xml:space="preserve">
</t>
    </r>
    <r>
      <rPr>
        <b/>
        <sz val="12"/>
        <color theme="1"/>
        <rFont val="Calibri"/>
        <family val="2"/>
        <scheme val="minor"/>
      </rPr>
      <t>1. Restore Original Inputs:</t>
    </r>
    <r>
      <rPr>
        <sz val="12"/>
        <color theme="1"/>
        <rFont val="Calibri"/>
        <family val="2"/>
        <scheme val="minor"/>
      </rPr>
      <t xml:space="preserve"> A button to revert to factory (default) inputs and other switched for data and switches. 
</t>
    </r>
    <r>
      <rPr>
        <b/>
        <sz val="12"/>
        <color theme="1"/>
        <rFont val="Calibri"/>
        <family val="2"/>
        <scheme val="minor"/>
      </rPr>
      <t>2. Save and Load User Inputs:</t>
    </r>
    <r>
      <rPr>
        <sz val="12"/>
        <color theme="1"/>
        <rFont val="Calibri"/>
        <family val="2"/>
        <scheme val="minor"/>
      </rPr>
      <t xml:space="preserve"> A button for saving and loading user-entered data and switch settings.
</t>
    </r>
    <r>
      <rPr>
        <b/>
        <sz val="12"/>
        <color theme="1"/>
        <rFont val="Calibri"/>
        <family val="2"/>
        <scheme val="minor"/>
      </rPr>
      <t xml:space="preserve">3. Interest Calculation Switch: </t>
    </r>
    <r>
      <rPr>
        <sz val="12"/>
        <color theme="1"/>
        <rFont val="Calibri"/>
        <family val="2"/>
        <scheme val="minor"/>
      </rPr>
      <t xml:space="preserve">Calculate interest income and expenses based on either the beginning balance or the average balance throughout the year. Users can choose between these options as per their preference.
</t>
    </r>
    <r>
      <rPr>
        <b/>
        <sz val="12"/>
        <color theme="1"/>
        <rFont val="Calibri"/>
        <family val="2"/>
        <scheme val="minor"/>
      </rPr>
      <t>4. Economies of Scale for Cost Management:</t>
    </r>
    <r>
      <rPr>
        <sz val="12"/>
        <color theme="1"/>
        <rFont val="Calibri"/>
        <family val="2"/>
        <scheme val="minor"/>
      </rPr>
      <t xml:space="preserve"> Enables users to select between a fixed cost of sales or economies of scale approach, where the cost of sales decreases as sales volume increases. 
</t>
    </r>
    <r>
      <rPr>
        <b/>
        <sz val="12"/>
        <color theme="1"/>
        <rFont val="Calibri"/>
        <family val="2"/>
        <scheme val="minor"/>
      </rPr>
      <t>5. All Debt vs Long-Term Debt:</t>
    </r>
    <r>
      <rPr>
        <sz val="12"/>
        <color theme="1"/>
        <rFont val="Calibri"/>
        <family val="2"/>
        <scheme val="minor"/>
      </rPr>
      <t xml:space="preserve"> Allows users to define debt as either all debt (including short-term and long-term) or exclusively long-term debt for risk and cost of capital calculations.
</t>
    </r>
    <r>
      <rPr>
        <b/>
        <sz val="12"/>
        <color theme="1"/>
        <rFont val="Calibri"/>
        <family val="2"/>
        <scheme val="minor"/>
      </rPr>
      <t xml:space="preserve">6. Progressive Tax Rate Schedule: </t>
    </r>
    <r>
      <rPr>
        <sz val="12"/>
        <color theme="1"/>
        <rFont val="Calibri"/>
        <family val="2"/>
        <scheme val="minor"/>
      </rPr>
      <t xml:space="preserve">A switch for users to opt between a flat tax rate, as in the base case, and a progressive tax rate schedule outlined in Tax Rate Schedule. 
</t>
    </r>
    <r>
      <rPr>
        <b/>
        <sz val="12"/>
        <color theme="1"/>
        <rFont val="Calibri"/>
        <family val="2"/>
        <scheme val="minor"/>
      </rPr>
      <t>7. Terminal Value Calculation using P/E Ratio:</t>
    </r>
    <r>
      <rPr>
        <sz val="12"/>
        <color theme="1"/>
        <rFont val="Calibri"/>
        <family val="2"/>
        <scheme val="minor"/>
      </rPr>
      <t xml:space="preserve"> User can utilize a P/E ratio-based valuation method to compute the terminal value of the stock.
</t>
    </r>
    <r>
      <rPr>
        <b/>
        <sz val="12"/>
        <color theme="1"/>
        <rFont val="Calibri"/>
        <family val="2"/>
        <scheme val="minor"/>
      </rPr>
      <t xml:space="preserve">8. User-Defined Long-Term Growth Rate: </t>
    </r>
    <r>
      <rPr>
        <sz val="12"/>
        <color theme="1"/>
        <rFont val="Calibri"/>
        <family val="2"/>
        <scheme val="minor"/>
      </rPr>
      <t xml:space="preserve">Offers the users the flexibility to either calculate the long-term growth rate in dividends using a predefined formula or directly input their preferred growth rate. 
</t>
    </r>
    <r>
      <rPr>
        <b/>
        <sz val="12"/>
        <color theme="1"/>
        <rFont val="Calibri"/>
        <family val="2"/>
        <scheme val="minor"/>
      </rPr>
      <t>Contact Information</t>
    </r>
    <r>
      <rPr>
        <sz val="12"/>
        <color theme="1"/>
        <rFont val="Calibri"/>
        <family val="2"/>
        <scheme val="minor"/>
      </rPr>
      <t xml:space="preserve">
For any inquiries or assistance, please feel free to reach out via email: </t>
    </r>
    <r>
      <rPr>
        <sz val="12"/>
        <color rgb="FF0070C0"/>
        <rFont val="Calibri"/>
        <family val="2"/>
        <scheme val="minor"/>
      </rPr>
      <t>zrahmati@uwm.edu.</t>
    </r>
    <r>
      <rPr>
        <sz val="12"/>
        <color theme="1"/>
        <rFont val="Calibri"/>
        <family val="2"/>
        <scheme val="minor"/>
      </rPr>
      <t xml:space="preserve">
We hope this user guide facilitates your effective utilization of the "Forecasting Financial Statements and Valuation" Financial Modeling Excel File. Happy modeling!
</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</si>
</sst>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5" formatCode="&quot;$&quot;#,##0_);\(&quot;$&quot;#,##0\)"/>
    <numFmt numFmtId="6" formatCode="&quot;$&quot;#,##0_);[Red]\(&quot;$&quot;#,##0\)"/>
    <numFmt numFmtId="43" formatCode="_(* #,##0.00_);_(* \(#,##0.00\);_(* &quot;-&quot;??_);_(@_)"/>
    <numFmt numFmtId="164" formatCode="0&quot;E&quot;"/>
    <numFmt numFmtId="165" formatCode="&quot;$&quot;#,##0"/>
    <numFmt numFmtId="166" formatCode="_([$$-409]* #,##0.00_);_([$$-409]* \(#,##0.00\);_([$$-409]* &quot;-&quot;??_);_(@_)"/>
    <numFmt numFmtId="167" formatCode="_([$$-409]* #,##0_);_([$$-409]* \(#,##0\);_([$$-409]* &quot;-&quot;??_);_(@_)"/>
    <numFmt numFmtId="168" formatCode="0.0000%"/>
    <numFmt numFmtId="169" formatCode="[$$-409]#,##0_);\([$$-409]#,##0\)"/>
  </numFmts>
  <fonts count="13" x14ac:knownFonts="1">
    <font>
      <sz val="11"/>
      <color theme="1"/>
      <name val="Calibri"/>
      <family val="2"/>
      <scheme val="minor"/>
    </font>
    <font>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1"/>
      <color theme="0"/>
      <name val="Calibri"/>
      <family val="2"/>
      <scheme val="minor"/>
    </font>
    <font>
      <b/>
      <sz val="11"/>
      <color theme="1"/>
      <name val="Calibri"/>
      <family val="2"/>
      <scheme val="minor"/>
    </font>
    <font>
      <sz val="11"/>
      <color rgb="FF000000"/>
      <name val="Calibri"/>
      <family val="2"/>
      <scheme val="minor"/>
    </font>
    <font>
      <b/>
      <sz val="12"/>
      <color theme="1"/>
      <name val="Calibri"/>
      <family val="2"/>
      <scheme val="minor"/>
    </font>
    <font>
      <sz val="12"/>
      <color rgb="FF0070C0"/>
      <name val="Calibri"/>
      <family val="2"/>
      <scheme val="minor"/>
    </font>
    <font>
      <sz val="12"/>
      <color theme="9" tint="-0.249977111117893"/>
      <name val="Calibri"/>
      <family val="2"/>
      <scheme val="minor"/>
    </font>
    <font>
      <b/>
      <sz val="14"/>
      <color theme="1"/>
      <name val="Calibri"/>
      <family val="2"/>
      <scheme val="minor"/>
    </font>
    <font>
      <sz val="14"/>
      <color theme="1"/>
      <name val="Calibri"/>
      <family val="2"/>
      <scheme val="minor"/>
    </font>
  </fonts>
  <fills count="6">
    <fill>
      <patternFill patternType="none"/>
    </fill>
    <fill>
      <patternFill patternType="gray125"/>
    </fill>
    <fill>
      <patternFill patternType="solid">
        <fgColor rgb="FFED942D"/>
        <bgColor indexed="64"/>
      </patternFill>
    </fill>
    <fill>
      <patternFill patternType="solid">
        <fgColor rgb="FF132E57"/>
        <bgColor indexed="64"/>
      </patternFill>
    </fill>
    <fill>
      <patternFill patternType="solid">
        <fgColor rgb="FF1E8496"/>
        <bgColor indexed="64"/>
      </patternFill>
    </fill>
    <fill>
      <patternFill patternType="solid">
        <fgColor rgb="FFFFFF00"/>
        <bgColor indexed="64"/>
      </patternFill>
    </fill>
  </fills>
  <borders count="10">
    <border>
      <left/>
      <right/>
      <top/>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9" fontId="1" fillId="0" borderId="0" applyFont="0" applyFill="0" applyBorder="0" applyAlignment="0" applyProtection="0"/>
    <xf numFmtId="43" fontId="1" fillId="0" borderId="0" applyFont="0" applyFill="0" applyBorder="0" applyAlignment="0" applyProtection="0"/>
  </cellStyleXfs>
  <cellXfs count="96">
    <xf numFmtId="0" fontId="0" fillId="0" borderId="0" xfId="0"/>
    <xf numFmtId="0" fontId="2" fillId="0" borderId="0" xfId="0" applyFont="1"/>
    <xf numFmtId="0" fontId="0" fillId="0" borderId="0" xfId="0" applyFont="1" applyBorder="1"/>
    <xf numFmtId="1" fontId="5" fillId="4" borderId="0" xfId="1" applyNumberFormat="1" applyFont="1" applyFill="1" applyBorder="1" applyAlignment="1">
      <alignment horizontal="center" vertical="center"/>
    </xf>
    <xf numFmtId="0" fontId="7" fillId="0" borderId="0" xfId="0" applyFont="1" applyBorder="1" applyAlignment="1">
      <alignment vertical="center" wrapText="1"/>
    </xf>
    <xf numFmtId="0" fontId="0" fillId="0" borderId="1" xfId="0" applyFont="1" applyBorder="1"/>
    <xf numFmtId="37" fontId="0" fillId="0" borderId="1" xfId="0" applyNumberFormat="1" applyFont="1" applyBorder="1"/>
    <xf numFmtId="0" fontId="7" fillId="0" borderId="0" xfId="0" applyFont="1" applyBorder="1"/>
    <xf numFmtId="0" fontId="7" fillId="0" borderId="0" xfId="0" applyFont="1" applyBorder="1" applyAlignment="1">
      <alignment horizontal="left" vertical="center" indent="2"/>
    </xf>
    <xf numFmtId="167" fontId="0" fillId="0" borderId="0" xfId="0" applyNumberFormat="1" applyFont="1" applyBorder="1"/>
    <xf numFmtId="166" fontId="0" fillId="0" borderId="0" xfId="0" applyNumberFormat="1" applyFont="1" applyBorder="1"/>
    <xf numFmtId="0" fontId="7" fillId="0" borderId="1" xfId="0" applyFont="1" applyBorder="1" applyAlignment="1">
      <alignment horizontal="left" vertical="center" indent="2"/>
    </xf>
    <xf numFmtId="167" fontId="0" fillId="0" borderId="1" xfId="0" applyNumberFormat="1" applyFont="1" applyBorder="1"/>
    <xf numFmtId="0" fontId="7" fillId="0" borderId="0" xfId="0" applyFont="1" applyBorder="1" applyAlignment="1"/>
    <xf numFmtId="167" fontId="5" fillId="2" borderId="0" xfId="1" applyNumberFormat="1" applyFont="1" applyFill="1" applyBorder="1" applyAlignment="1">
      <alignment vertical="center" wrapText="1"/>
    </xf>
    <xf numFmtId="167" fontId="7" fillId="0" borderId="0" xfId="0" applyNumberFormat="1" applyFont="1" applyBorder="1"/>
    <xf numFmtId="0" fontId="7" fillId="0" borderId="0" xfId="0" applyFont="1" applyBorder="1" applyAlignment="1">
      <alignment horizontal="left" indent="2"/>
    </xf>
    <xf numFmtId="167" fontId="0" fillId="5" borderId="0" xfId="0" applyNumberFormat="1" applyFont="1" applyFill="1" applyBorder="1"/>
    <xf numFmtId="164" fontId="5" fillId="3" borderId="0" xfId="0" applyNumberFormat="1" applyFont="1" applyFill="1" applyBorder="1" applyAlignment="1">
      <alignment vertical="center"/>
    </xf>
    <xf numFmtId="10" fontId="0" fillId="0" borderId="0" xfId="0" applyNumberFormat="1" applyFont="1" applyBorder="1"/>
    <xf numFmtId="167" fontId="5" fillId="2" borderId="0" xfId="1" applyNumberFormat="1" applyFont="1" applyFill="1" applyBorder="1" applyAlignment="1">
      <alignment horizontal="center" vertical="center" wrapText="1"/>
    </xf>
    <xf numFmtId="169" fontId="0" fillId="0" borderId="0" xfId="0" applyNumberFormat="1" applyFont="1" applyBorder="1"/>
    <xf numFmtId="43" fontId="0" fillId="0" borderId="0" xfId="0" applyNumberFormat="1" applyFont="1" applyBorder="1"/>
    <xf numFmtId="169" fontId="0" fillId="0" borderId="1" xfId="0" applyNumberFormat="1" applyFont="1" applyBorder="1"/>
    <xf numFmtId="39" fontId="0" fillId="0" borderId="0" xfId="0" applyNumberFormat="1" applyFont="1" applyBorder="1"/>
    <xf numFmtId="167" fontId="0" fillId="5" borderId="1" xfId="0" applyNumberFormat="1" applyFont="1" applyFill="1" applyBorder="1"/>
    <xf numFmtId="5" fontId="5" fillId="2" borderId="0" xfId="1" applyNumberFormat="1" applyFont="1" applyFill="1" applyBorder="1" applyAlignment="1">
      <alignment vertical="center" wrapText="1"/>
    </xf>
    <xf numFmtId="2" fontId="0" fillId="0" borderId="0" xfId="0" applyNumberFormat="1" applyFont="1" applyBorder="1"/>
    <xf numFmtId="3" fontId="0" fillId="0" borderId="1" xfId="0" applyNumberFormat="1" applyFont="1" applyBorder="1"/>
    <xf numFmtId="3" fontId="0" fillId="5" borderId="1" xfId="0" applyNumberFormat="1" applyFont="1" applyFill="1" applyBorder="1"/>
    <xf numFmtId="0" fontId="7" fillId="0" borderId="0" xfId="0" applyFont="1" applyBorder="1" applyAlignment="1">
      <alignment vertical="center"/>
    </xf>
    <xf numFmtId="0" fontId="7" fillId="0" borderId="2" xfId="0" applyFont="1" applyBorder="1" applyAlignment="1">
      <alignment horizontal="left" vertical="center" indent="2"/>
    </xf>
    <xf numFmtId="167" fontId="0" fillId="0" borderId="2" xfId="0" applyNumberFormat="1" applyFont="1" applyBorder="1"/>
    <xf numFmtId="167" fontId="7" fillId="0" borderId="0" xfId="0" applyNumberFormat="1" applyFont="1" applyBorder="1" applyAlignment="1">
      <alignment vertical="center" wrapText="1"/>
    </xf>
    <xf numFmtId="10" fontId="0" fillId="0" borderId="0" xfId="1" applyNumberFormat="1" applyFont="1" applyBorder="1"/>
    <xf numFmtId="0" fontId="6" fillId="0" borderId="0" xfId="0" applyFont="1" applyBorder="1" applyAlignment="1">
      <alignment horizontal="center"/>
    </xf>
    <xf numFmtId="9" fontId="0" fillId="0" borderId="0" xfId="0" applyNumberFormat="1" applyFont="1" applyBorder="1"/>
    <xf numFmtId="0" fontId="7" fillId="0" borderId="0" xfId="0" applyFont="1" applyBorder="1" applyAlignment="1">
      <alignment horizontal="left" vertical="center" wrapText="1" indent="2"/>
    </xf>
    <xf numFmtId="0" fontId="7" fillId="0" borderId="0" xfId="0" applyFont="1" applyBorder="1" applyAlignment="1">
      <alignment horizontal="left" vertical="center" wrapText="1" indent="1"/>
    </xf>
    <xf numFmtId="165" fontId="5" fillId="2" borderId="0" xfId="1" applyNumberFormat="1" applyFont="1" applyFill="1" applyBorder="1" applyAlignment="1">
      <alignment vertical="center" wrapText="1"/>
    </xf>
    <xf numFmtId="6" fontId="7" fillId="0" borderId="0" xfId="0" applyNumberFormat="1" applyFont="1" applyBorder="1"/>
    <xf numFmtId="0" fontId="0" fillId="0" borderId="0" xfId="0" applyFont="1" applyBorder="1" applyAlignment="1">
      <alignment horizontal="left" indent="2"/>
    </xf>
    <xf numFmtId="0" fontId="0" fillId="0" borderId="0" xfId="0" applyFont="1" applyBorder="1" applyAlignment="1">
      <alignment horizontal="left" indent="1"/>
    </xf>
    <xf numFmtId="167" fontId="0" fillId="0" borderId="1" xfId="0" applyNumberFormat="1" applyFont="1" applyFill="1" applyBorder="1"/>
    <xf numFmtId="6" fontId="7" fillId="0" borderId="0" xfId="0" applyNumberFormat="1" applyFont="1" applyBorder="1" applyAlignment="1">
      <alignment vertical="center" wrapText="1"/>
    </xf>
    <xf numFmtId="167" fontId="0" fillId="0" borderId="0" xfId="0" applyNumberFormat="1" applyFont="1" applyFill="1" applyBorder="1" applyAlignment="1">
      <alignment vertical="center" wrapText="1"/>
    </xf>
    <xf numFmtId="0" fontId="7" fillId="0" borderId="0" xfId="0" applyFont="1" applyBorder="1" applyAlignment="1">
      <alignment horizontal="left" indent="1"/>
    </xf>
    <xf numFmtId="0" fontId="7" fillId="0" borderId="1" xfId="0" applyFont="1" applyBorder="1" applyAlignment="1">
      <alignment horizontal="left" vertical="center"/>
    </xf>
    <xf numFmtId="167" fontId="0" fillId="0" borderId="0" xfId="1" applyNumberFormat="1" applyFont="1" applyFill="1" applyBorder="1" applyAlignment="1">
      <alignment vertical="center" wrapText="1"/>
    </xf>
    <xf numFmtId="167" fontId="0" fillId="0" borderId="0" xfId="0" applyNumberFormat="1" applyFont="1" applyFill="1" applyBorder="1"/>
    <xf numFmtId="0" fontId="7" fillId="0" borderId="0" xfId="0" applyFont="1" applyBorder="1" applyAlignment="1">
      <alignment horizontal="left" vertical="center" indent="1"/>
    </xf>
    <xf numFmtId="3" fontId="5" fillId="2" borderId="0" xfId="1" applyNumberFormat="1" applyFont="1" applyFill="1" applyBorder="1" applyAlignment="1">
      <alignment vertical="center" wrapText="1"/>
    </xf>
    <xf numFmtId="9" fontId="5" fillId="2" borderId="0" xfId="1" applyFont="1" applyFill="1" applyBorder="1" applyAlignment="1">
      <alignment vertical="center" wrapText="1"/>
    </xf>
    <xf numFmtId="167" fontId="7" fillId="0" borderId="0" xfId="0" applyNumberFormat="1" applyFont="1" applyBorder="1" applyAlignment="1">
      <alignment horizontal="right"/>
    </xf>
    <xf numFmtId="9" fontId="5" fillId="2" borderId="0" xfId="1" applyFont="1" applyFill="1" applyBorder="1" applyAlignment="1">
      <alignment horizontal="center" vertical="center" wrapText="1"/>
    </xf>
    <xf numFmtId="165" fontId="0" fillId="0" borderId="0" xfId="0" applyNumberFormat="1" applyFont="1" applyBorder="1"/>
    <xf numFmtId="39" fontId="7" fillId="5" borderId="0" xfId="0" applyNumberFormat="1" applyFont="1" applyFill="1"/>
    <xf numFmtId="39" fontId="7" fillId="0" borderId="0" xfId="0" applyNumberFormat="1" applyFont="1"/>
    <xf numFmtId="43" fontId="7" fillId="0" borderId="0" xfId="0" applyNumberFormat="1" applyFont="1"/>
    <xf numFmtId="43" fontId="7" fillId="5" borderId="0" xfId="0" applyNumberFormat="1" applyFont="1" applyFill="1"/>
    <xf numFmtId="165" fontId="5" fillId="2" borderId="0" xfId="1" applyNumberFormat="1" applyFont="1" applyFill="1" applyBorder="1" applyAlignment="1">
      <alignment horizontal="center" vertical="center" wrapText="1"/>
    </xf>
    <xf numFmtId="10" fontId="7" fillId="5" borderId="0" xfId="1" applyNumberFormat="1" applyFont="1" applyFill="1"/>
    <xf numFmtId="10" fontId="7" fillId="0" borderId="0" xfId="0" applyNumberFormat="1" applyFont="1"/>
    <xf numFmtId="10" fontId="7" fillId="5" borderId="0" xfId="0" applyNumberFormat="1" applyFont="1" applyFill="1"/>
    <xf numFmtId="10" fontId="0" fillId="0" borderId="0" xfId="1" applyNumberFormat="1" applyFont="1" applyFill="1" applyBorder="1"/>
    <xf numFmtId="166" fontId="6" fillId="0" borderId="0" xfId="0" applyNumberFormat="1" applyFont="1" applyFill="1" applyBorder="1"/>
    <xf numFmtId="3" fontId="0" fillId="0" borderId="0" xfId="0" applyNumberFormat="1" applyFont="1" applyBorder="1"/>
    <xf numFmtId="10" fontId="5" fillId="2" borderId="0" xfId="1" applyNumberFormat="1" applyFont="1" applyFill="1" applyBorder="1" applyAlignment="1">
      <alignment vertical="center" wrapText="1"/>
    </xf>
    <xf numFmtId="168" fontId="0" fillId="0" borderId="0" xfId="0" applyNumberFormat="1" applyFont="1" applyBorder="1"/>
    <xf numFmtId="43" fontId="5" fillId="2" borderId="0" xfId="2" applyFont="1" applyFill="1" applyBorder="1" applyAlignment="1">
      <alignment vertical="center" wrapText="1"/>
    </xf>
    <xf numFmtId="37" fontId="0" fillId="0" borderId="0" xfId="0" applyNumberFormat="1" applyFont="1" applyBorder="1"/>
    <xf numFmtId="0" fontId="0" fillId="0" borderId="0" xfId="0" applyFont="1" applyBorder="1" applyAlignment="1">
      <alignment vertical="center"/>
    </xf>
    <xf numFmtId="0" fontId="0" fillId="0" borderId="0" xfId="0" applyNumberFormat="1" applyFont="1" applyBorder="1"/>
    <xf numFmtId="0" fontId="0" fillId="5" borderId="0" xfId="0" applyFont="1" applyFill="1" applyBorder="1"/>
    <xf numFmtId="9" fontId="0" fillId="5" borderId="0" xfId="0" applyNumberFormat="1" applyFont="1" applyFill="1" applyBorder="1"/>
    <xf numFmtId="2" fontId="5" fillId="2" borderId="0" xfId="1" applyNumberFormat="1" applyFont="1" applyFill="1" applyBorder="1" applyAlignment="1">
      <alignment vertical="center" wrapText="1"/>
    </xf>
    <xf numFmtId="0" fontId="0" fillId="0" borderId="0" xfId="0" applyFont="1" applyFill="1" applyBorder="1"/>
    <xf numFmtId="10" fontId="0" fillId="5" borderId="0" xfId="0" applyNumberFormat="1" applyFont="1" applyFill="1" applyBorder="1"/>
    <xf numFmtId="10" fontId="0" fillId="5" borderId="0" xfId="1" applyNumberFormat="1" applyFont="1" applyFill="1" applyBorder="1"/>
    <xf numFmtId="166" fontId="6" fillId="5" borderId="0" xfId="0" applyNumberFormat="1" applyFont="1" applyFill="1" applyBorder="1"/>
    <xf numFmtId="10" fontId="5" fillId="2" borderId="0" xfId="1" applyNumberFormat="1" applyFont="1" applyFill="1" applyBorder="1" applyAlignment="1">
      <alignment horizontal="center" vertical="center"/>
    </xf>
    <xf numFmtId="10" fontId="5" fillId="2" borderId="0" xfId="1" applyNumberFormat="1" applyFont="1" applyFill="1" applyBorder="1" applyAlignment="1">
      <alignment horizontal="center" vertical="center" wrapText="1"/>
    </xf>
    <xf numFmtId="164" fontId="5" fillId="3" borderId="0" xfId="0" applyNumberFormat="1" applyFont="1" applyFill="1" applyBorder="1" applyAlignment="1">
      <alignment horizontal="center" vertical="center"/>
    </xf>
    <xf numFmtId="10" fontId="5" fillId="2" borderId="0" xfId="1" applyNumberFormat="1" applyFont="1" applyFill="1" applyBorder="1" applyAlignment="1">
      <alignment horizontal="left" vertical="center"/>
    </xf>
    <xf numFmtId="164" fontId="5" fillId="3" borderId="0" xfId="0" applyNumberFormat="1" applyFont="1" applyFill="1" applyBorder="1" applyAlignment="1">
      <alignment horizontal="left" vertical="center"/>
    </xf>
    <xf numFmtId="165" fontId="5" fillId="2" borderId="0" xfId="1" applyNumberFormat="1" applyFont="1" applyFill="1" applyBorder="1" applyAlignment="1">
      <alignment horizontal="center" vertical="center" wrapText="1"/>
    </xf>
    <xf numFmtId="0" fontId="6" fillId="0" borderId="1" xfId="0" applyFont="1" applyBorder="1" applyAlignment="1">
      <alignment horizontal="center"/>
    </xf>
    <xf numFmtId="0" fontId="2" fillId="0" borderId="3" xfId="0" applyFont="1" applyBorder="1" applyAlignment="1">
      <alignment horizontal="left" vertical="center" wrapText="1"/>
    </xf>
    <xf numFmtId="0" fontId="2" fillId="0" borderId="4" xfId="0" applyFont="1" applyBorder="1" applyAlignment="1">
      <alignment horizontal="left" vertical="center"/>
    </xf>
    <xf numFmtId="0" fontId="2" fillId="0" borderId="5" xfId="0" applyFont="1" applyBorder="1" applyAlignment="1">
      <alignment horizontal="left" vertical="center"/>
    </xf>
    <xf numFmtId="0" fontId="2" fillId="0" borderId="6" xfId="0" applyFont="1" applyBorder="1" applyAlignment="1">
      <alignment horizontal="left" vertical="center"/>
    </xf>
    <xf numFmtId="0" fontId="2" fillId="0" borderId="0" xfId="0" applyFont="1" applyBorder="1" applyAlignment="1">
      <alignment horizontal="left" vertical="center"/>
    </xf>
    <xf numFmtId="0" fontId="2" fillId="0" borderId="7" xfId="0" applyFont="1" applyBorder="1" applyAlignment="1">
      <alignment horizontal="left" vertical="center"/>
    </xf>
    <xf numFmtId="0" fontId="2" fillId="0" borderId="8" xfId="0" applyFont="1" applyBorder="1" applyAlignment="1">
      <alignment horizontal="left" vertical="center"/>
    </xf>
    <xf numFmtId="0" fontId="2" fillId="0" borderId="1" xfId="0" applyFont="1" applyBorder="1" applyAlignment="1">
      <alignment horizontal="left" vertical="center"/>
    </xf>
    <xf numFmtId="0" fontId="2" fillId="0" borderId="9" xfId="0" applyFont="1" applyBorder="1" applyAlignment="1">
      <alignment horizontal="left" vertical="center"/>
    </xf>
  </cellXfs>
  <cellStyles count="3">
    <cellStyle name="Comma" xfId="2" builtinId="3"/>
    <cellStyle name="Normal" xfId="0" builtinId="0"/>
    <cellStyle name="Percent" xfId="1" builtinId="5"/>
  </cellStyles>
  <dxfs count="2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400"/>
              <a:t>Value of Stock Per Share</a:t>
            </a: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lineChart>
        <c:grouping val="standard"/>
        <c:varyColors val="0"/>
        <c:ser>
          <c:idx val="0"/>
          <c:order val="0"/>
          <c:tx>
            <c:strRef>
              <c:f>'Forecasting Model'!$AO$7</c:f>
              <c:strCache>
                <c:ptCount val="1"/>
                <c:pt idx="0">
                  <c:v>Market Value of Stock per Share</c:v>
                </c:pt>
              </c:strCache>
            </c:strRef>
          </c:tx>
          <c:spPr>
            <a:ln w="31750" cap="rnd">
              <a:solidFill>
                <a:schemeClr val="accent6"/>
              </a:solidFill>
              <a:round/>
            </a:ln>
            <a:effectLst/>
          </c:spPr>
          <c:marker>
            <c:symbol val="circle"/>
            <c:size val="17"/>
            <c:spPr>
              <a:solidFill>
                <a:schemeClr val="accent6"/>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numRef>
              <c:f>'Forecasting Model'!$AP$4:$AU$4</c:f>
              <c:numCache>
                <c:formatCode>0</c:formatCode>
                <c:ptCount val="6"/>
                <c:pt idx="0">
                  <c:v>0</c:v>
                </c:pt>
                <c:pt idx="1">
                  <c:v>1</c:v>
                </c:pt>
                <c:pt idx="2">
                  <c:v>2</c:v>
                </c:pt>
                <c:pt idx="3">
                  <c:v>3</c:v>
                </c:pt>
                <c:pt idx="4">
                  <c:v>4</c:v>
                </c:pt>
                <c:pt idx="5">
                  <c:v>5</c:v>
                </c:pt>
              </c:numCache>
            </c:numRef>
          </c:cat>
          <c:val>
            <c:numRef>
              <c:f>'Forecasting Model'!$AP$7:$AU$7</c:f>
              <c:numCache>
                <c:formatCode>_([$$-409]* #,##0.00_);_([$$-409]* \(#,##0.00\);_([$$-409]* "-"??_);_(@_)</c:formatCode>
                <c:ptCount val="6"/>
                <c:pt idx="0">
                  <c:v>10.624925024397392</c:v>
                </c:pt>
                <c:pt idx="1">
                  <c:v>11.167723994153809</c:v>
                </c:pt>
                <c:pt idx="2">
                  <c:v>11.724930740213946</c:v>
                </c:pt>
                <c:pt idx="3">
                  <c:v>12.243074957268615</c:v>
                </c:pt>
                <c:pt idx="4">
                  <c:v>12.767766852008419</c:v>
                </c:pt>
                <c:pt idx="5">
                  <c:v>13.291889697286168</c:v>
                </c:pt>
              </c:numCache>
            </c:numRef>
          </c:val>
          <c:smooth val="0"/>
        </c:ser>
        <c:ser>
          <c:idx val="1"/>
          <c:order val="1"/>
          <c:tx>
            <c:strRef>
              <c:f>'Forecasting Model'!$AO$8</c:f>
              <c:strCache>
                <c:ptCount val="1"/>
                <c:pt idx="0">
                  <c:v>Book Value of Stock per Share</c:v>
                </c:pt>
              </c:strCache>
            </c:strRef>
          </c:tx>
          <c:spPr>
            <a:ln w="31750" cap="rnd">
              <a:solidFill>
                <a:schemeClr val="accent5"/>
              </a:solidFill>
              <a:round/>
            </a:ln>
            <a:effectLst/>
          </c:spPr>
          <c:marker>
            <c:symbol val="circle"/>
            <c:size val="17"/>
            <c:spPr>
              <a:solidFill>
                <a:schemeClr val="accent5"/>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numRef>
              <c:f>'Forecasting Model'!$AP$4:$AU$4</c:f>
              <c:numCache>
                <c:formatCode>0</c:formatCode>
                <c:ptCount val="6"/>
                <c:pt idx="0">
                  <c:v>0</c:v>
                </c:pt>
                <c:pt idx="1">
                  <c:v>1</c:v>
                </c:pt>
                <c:pt idx="2">
                  <c:v>2</c:v>
                </c:pt>
                <c:pt idx="3">
                  <c:v>3</c:v>
                </c:pt>
                <c:pt idx="4">
                  <c:v>4</c:v>
                </c:pt>
                <c:pt idx="5">
                  <c:v>5</c:v>
                </c:pt>
              </c:numCache>
            </c:numRef>
          </c:cat>
          <c:val>
            <c:numRef>
              <c:f>'Forecasting Model'!$AP$8:$AU$8</c:f>
              <c:numCache>
                <c:formatCode>_([$$-409]* #,##0.00_);_([$$-409]* \(#,##0.00\);_([$$-409]* "-"??_);_(@_)</c:formatCode>
                <c:ptCount val="6"/>
                <c:pt idx="0">
                  <c:v>4.6041603510171516</c:v>
                </c:pt>
                <c:pt idx="1">
                  <c:v>5.000676134295122</c:v>
                </c:pt>
                <c:pt idx="2">
                  <c:v>5.1437873004488388</c:v>
                </c:pt>
                <c:pt idx="3">
                  <c:v>5.5748024404632561</c:v>
                </c:pt>
                <c:pt idx="4">
                  <c:v>6.0103610320392162</c:v>
                </c:pt>
                <c:pt idx="5">
                  <c:v>6.4810466917302767</c:v>
                </c:pt>
              </c:numCache>
            </c:numRef>
          </c:val>
          <c:smooth val="0"/>
        </c:ser>
        <c:dLbls>
          <c:dLblPos val="ctr"/>
          <c:showLegendKey val="0"/>
          <c:showVal val="1"/>
          <c:showCatName val="0"/>
          <c:showSerName val="0"/>
          <c:showPercent val="0"/>
          <c:showBubbleSize val="0"/>
        </c:dLbls>
        <c:marker val="1"/>
        <c:smooth val="0"/>
        <c:axId val="454056480"/>
        <c:axId val="453868096"/>
      </c:lineChart>
      <c:catAx>
        <c:axId val="454056480"/>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Year</a:t>
                </a:r>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53868096"/>
        <c:crosses val="autoZero"/>
        <c:auto val="1"/>
        <c:lblAlgn val="ctr"/>
        <c:lblOffset val="100"/>
        <c:noMultiLvlLbl val="0"/>
      </c:catAx>
      <c:valAx>
        <c:axId val="45386809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800" b="1" i="0" u="none" strike="noStrike" kern="1200" baseline="0">
                    <a:solidFill>
                      <a:schemeClr val="dk1">
                        <a:lumMod val="75000"/>
                        <a:lumOff val="25000"/>
                      </a:schemeClr>
                    </a:solidFill>
                    <a:latin typeface="+mn-lt"/>
                    <a:ea typeface="+mn-ea"/>
                    <a:cs typeface="+mn-cs"/>
                  </a:defRPr>
                </a:pPr>
                <a:r>
                  <a:rPr lang="en-US" sz="800"/>
                  <a:t>Price ($)</a:t>
                </a:r>
              </a:p>
            </c:rich>
          </c:tx>
          <c:layout/>
          <c:overlay val="0"/>
          <c:spPr>
            <a:noFill/>
            <a:ln>
              <a:noFill/>
            </a:ln>
            <a:effectLst/>
          </c:spPr>
          <c:txPr>
            <a:bodyPr rot="-5400000" spcFirstLastPara="1" vertOverflow="ellipsis" vert="horz" wrap="square" anchor="ctr" anchorCtr="1"/>
            <a:lstStyle/>
            <a:p>
              <a:pPr>
                <a:defRPr sz="800" b="1" i="0" u="none" strike="noStrike" kern="1200" baseline="0">
                  <a:solidFill>
                    <a:schemeClr val="dk1">
                      <a:lumMod val="75000"/>
                      <a:lumOff val="25000"/>
                    </a:schemeClr>
                  </a:solidFill>
                  <a:latin typeface="+mn-lt"/>
                  <a:ea typeface="+mn-ea"/>
                  <a:cs typeface="+mn-cs"/>
                </a:defRPr>
              </a:pPr>
              <a:endParaRPr lang="en-US"/>
            </a:p>
          </c:txPr>
        </c:title>
        <c:numFmt formatCode="_([$$-409]* #,##0.00_);_([$$-409]* \(#,##0.00\);_([$$-409]* &quot;-&quot;??_);_(@_)" sourceLinked="1"/>
        <c:majorTickMark val="none"/>
        <c:minorTickMark val="none"/>
        <c:tickLblPos val="nextTo"/>
        <c:crossAx val="454056480"/>
        <c:crosses val="autoZero"/>
        <c:crossBetween val="between"/>
      </c:valAx>
      <c:spPr>
        <a:noFill/>
        <a:ln>
          <a:noFill/>
        </a:ln>
        <a:effectLst/>
      </c:spPr>
    </c:plotArea>
    <c:legend>
      <c:legendPos val="b"/>
      <c:layout/>
      <c:overlay val="0"/>
      <c:spPr>
        <a:solidFill>
          <a:schemeClr val="lt1">
            <a:lumMod val="95000"/>
            <a:alpha val="39000"/>
          </a:schemeClr>
        </a:solidFill>
        <a:ln>
          <a:noFill/>
        </a:ln>
        <a:effectLst/>
      </c:spPr>
      <c:txPr>
        <a:bodyPr rot="0" spcFirstLastPara="1" vertOverflow="ellipsis" vert="horz" wrap="square" anchor="ctr" anchorCtr="1"/>
        <a:lstStyle/>
        <a:p>
          <a:pPr>
            <a:defRPr sz="8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M/B and P/E Ratios</a:t>
            </a: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6.5480839770979057E-2"/>
          <c:y val="0.14071980200743175"/>
          <c:w val="0.87662420073279268"/>
          <c:h val="0.65466186397797976"/>
        </c:manualLayout>
      </c:layout>
      <c:lineChart>
        <c:grouping val="standard"/>
        <c:varyColors val="0"/>
        <c:ser>
          <c:idx val="0"/>
          <c:order val="0"/>
          <c:tx>
            <c:strRef>
              <c:f>'Forecasting Model'!$AO$18</c:f>
              <c:strCache>
                <c:ptCount val="1"/>
                <c:pt idx="0">
                  <c:v>Market to Book Ratio</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numRef>
              <c:f>'Forecasting Model'!$AP$4:$AU$4</c:f>
              <c:numCache>
                <c:formatCode>0</c:formatCode>
                <c:ptCount val="6"/>
                <c:pt idx="0">
                  <c:v>0</c:v>
                </c:pt>
                <c:pt idx="1">
                  <c:v>1</c:v>
                </c:pt>
                <c:pt idx="2">
                  <c:v>2</c:v>
                </c:pt>
                <c:pt idx="3">
                  <c:v>3</c:v>
                </c:pt>
                <c:pt idx="4">
                  <c:v>4</c:v>
                </c:pt>
                <c:pt idx="5">
                  <c:v>5</c:v>
                </c:pt>
              </c:numCache>
            </c:numRef>
          </c:cat>
          <c:val>
            <c:numRef>
              <c:f>'Forecasting Model'!$AP$18:$AU$18</c:f>
              <c:numCache>
                <c:formatCode>0.00</c:formatCode>
                <c:ptCount val="6"/>
                <c:pt idx="0">
                  <c:v>2.30767918889926</c:v>
                </c:pt>
                <c:pt idx="1">
                  <c:v>2.2332428044208812</c:v>
                </c:pt>
                <c:pt idx="2">
                  <c:v>2.2794353761849457</c:v>
                </c:pt>
                <c:pt idx="3">
                  <c:v>2.1961450810176579</c:v>
                </c:pt>
                <c:pt idx="4">
                  <c:v>2.1242928309876463</c:v>
                </c:pt>
                <c:pt idx="5">
                  <c:v>2.0508862733926034</c:v>
                </c:pt>
              </c:numCache>
            </c:numRef>
          </c:val>
          <c:smooth val="0"/>
        </c:ser>
        <c:ser>
          <c:idx val="1"/>
          <c:order val="1"/>
          <c:tx>
            <c:strRef>
              <c:f>'Forecasting Model'!$AO$17</c:f>
              <c:strCache>
                <c:ptCount val="1"/>
                <c:pt idx="0">
                  <c:v>P/E Ratio</c:v>
                </c:pt>
              </c:strCache>
            </c:strRef>
          </c:tx>
          <c:spPr>
            <a:ln w="31750" cap="rnd">
              <a:solidFill>
                <a:schemeClr val="accent4"/>
              </a:solidFill>
              <a:round/>
            </a:ln>
            <a:effectLst/>
          </c:spPr>
          <c:marker>
            <c:symbol val="circle"/>
            <c:size val="17"/>
            <c:spPr>
              <a:solidFill>
                <a:schemeClr val="accent4"/>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val>
            <c:numRef>
              <c:f>'Forecasting Model'!$AP$17:$AU$17</c:f>
              <c:numCache>
                <c:formatCode>0.00</c:formatCode>
                <c:ptCount val="6"/>
                <c:pt idx="0">
                  <c:v>17.394194707408968</c:v>
                </c:pt>
                <c:pt idx="1">
                  <c:v>14.916734698417278</c:v>
                </c:pt>
                <c:pt idx="2">
                  <c:v>13.789842304542836</c:v>
                </c:pt>
                <c:pt idx="3">
                  <c:v>12.538015434763436</c:v>
                </c:pt>
                <c:pt idx="4">
                  <c:v>12.070592284518924</c:v>
                </c:pt>
                <c:pt idx="5">
                  <c:v>11.575592698757042</c:v>
                </c:pt>
              </c:numCache>
            </c:numRef>
          </c:val>
          <c:smooth val="0"/>
        </c:ser>
        <c:dLbls>
          <c:dLblPos val="ctr"/>
          <c:showLegendKey val="0"/>
          <c:showVal val="1"/>
          <c:showCatName val="0"/>
          <c:showSerName val="0"/>
          <c:showPercent val="0"/>
          <c:showBubbleSize val="0"/>
        </c:dLbls>
        <c:marker val="1"/>
        <c:smooth val="0"/>
        <c:axId val="316960680"/>
        <c:axId val="323923952"/>
      </c:lineChart>
      <c:catAx>
        <c:axId val="316960680"/>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Year</a:t>
                </a:r>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23923952"/>
        <c:crosses val="autoZero"/>
        <c:auto val="1"/>
        <c:lblAlgn val="ctr"/>
        <c:lblOffset val="100"/>
        <c:noMultiLvlLbl val="0"/>
      </c:catAx>
      <c:valAx>
        <c:axId val="323923952"/>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Ratio</a:t>
                </a:r>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00" sourceLinked="1"/>
        <c:majorTickMark val="none"/>
        <c:minorTickMark val="none"/>
        <c:tickLblPos val="nextTo"/>
        <c:crossAx val="316960680"/>
        <c:crosses val="autoZero"/>
        <c:crossBetween val="between"/>
      </c:valAx>
      <c:spPr>
        <a:noFill/>
        <a:ln>
          <a:noFill/>
        </a:ln>
        <a:effectLst/>
      </c:spPr>
    </c:plotArea>
    <c:legend>
      <c:legendPos val="b"/>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EPS, DPS and Dividend Growth Rate</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'Forecasting Model'!$AO$10</c:f>
              <c:strCache>
                <c:ptCount val="1"/>
                <c:pt idx="0">
                  <c:v>Earnings per Share (EPS)</c:v>
                </c:pt>
              </c:strCache>
            </c:strRef>
          </c:tx>
          <c:spPr>
            <a:ln w="34925" cap="rnd">
              <a:solidFill>
                <a:schemeClr val="accent6"/>
              </a:solidFill>
              <a:round/>
            </a:ln>
            <a:effectLst>
              <a:outerShdw blurRad="40000" dist="23000" dir="5400000" rotWithShape="0">
                <a:srgbClr val="000000">
                  <a:alpha val="35000"/>
                </a:srgbClr>
              </a:outerShdw>
            </a:effectLst>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numRef>
              <c:f>'Forecasting Model'!$AP$4:$AV$4</c:f>
              <c:numCache>
                <c:formatCode>0</c:formatCode>
                <c:ptCount val="7"/>
                <c:pt idx="0">
                  <c:v>0</c:v>
                </c:pt>
                <c:pt idx="1">
                  <c:v>1</c:v>
                </c:pt>
                <c:pt idx="2">
                  <c:v>2</c:v>
                </c:pt>
                <c:pt idx="3">
                  <c:v>3</c:v>
                </c:pt>
                <c:pt idx="4">
                  <c:v>4</c:v>
                </c:pt>
                <c:pt idx="5">
                  <c:v>5</c:v>
                </c:pt>
                <c:pt idx="6">
                  <c:v>6</c:v>
                </c:pt>
              </c:numCache>
            </c:numRef>
          </c:cat>
          <c:val>
            <c:numRef>
              <c:f>'Forecasting Model'!$AP$10:$AV$10</c:f>
              <c:numCache>
                <c:formatCode>_([$$-409]* #,##0.00_);_([$$-409]* \(#,##0.00\);_([$$-409]* "-"??_);_(@_)</c:formatCode>
                <c:ptCount val="7"/>
                <c:pt idx="0">
                  <c:v>0.61083167132030314</c:v>
                </c:pt>
                <c:pt idx="1">
                  <c:v>0.74867081971624438</c:v>
                </c:pt>
                <c:pt idx="2">
                  <c:v>0.85025850776780543</c:v>
                </c:pt>
                <c:pt idx="3">
                  <c:v>0.97647630288625609</c:v>
                </c:pt>
                <c:pt idx="4">
                  <c:v>1.0577581075606086</c:v>
                </c:pt>
                <c:pt idx="5">
                  <c:v>1.1482686064717376</c:v>
                </c:pt>
              </c:numCache>
            </c:numRef>
          </c:val>
          <c:smooth val="0"/>
        </c:ser>
        <c:ser>
          <c:idx val="1"/>
          <c:order val="1"/>
          <c:tx>
            <c:strRef>
              <c:f>'Forecasting Model'!$AO$11</c:f>
              <c:strCache>
                <c:ptCount val="1"/>
                <c:pt idx="0">
                  <c:v>Dividends per Share</c:v>
                </c:pt>
              </c:strCache>
            </c:strRef>
          </c:tx>
          <c:spPr>
            <a:ln w="34925" cap="rnd">
              <a:solidFill>
                <a:schemeClr val="accent5"/>
              </a:solidFill>
              <a:round/>
            </a:ln>
            <a:effectLst>
              <a:outerShdw blurRad="40000" dist="23000" dir="5400000" rotWithShape="0">
                <a:srgbClr val="000000">
                  <a:alpha val="35000"/>
                </a:srgbClr>
              </a:outerShdw>
            </a:effectLst>
          </c:spPr>
          <c:marker>
            <c:symbol val="circle"/>
            <c:size val="6"/>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numRef>
              <c:f>'Forecasting Model'!$AP$4:$AV$4</c:f>
              <c:numCache>
                <c:formatCode>0</c:formatCode>
                <c:ptCount val="7"/>
                <c:pt idx="0">
                  <c:v>0</c:v>
                </c:pt>
                <c:pt idx="1">
                  <c:v>1</c:v>
                </c:pt>
                <c:pt idx="2">
                  <c:v>2</c:v>
                </c:pt>
                <c:pt idx="3">
                  <c:v>3</c:v>
                </c:pt>
                <c:pt idx="4">
                  <c:v>4</c:v>
                </c:pt>
                <c:pt idx="5">
                  <c:v>5</c:v>
                </c:pt>
                <c:pt idx="6">
                  <c:v>6</c:v>
                </c:pt>
              </c:numCache>
            </c:numRef>
          </c:cat>
          <c:val>
            <c:numRef>
              <c:f>'Forecasting Model'!$AP$11:$AV$11</c:f>
              <c:numCache>
                <c:formatCode>_([$$-409]* #,##0.00_);_([$$-409]* \(#,##0.00\);_([$$-409]* "-"??_);_(@_)</c:formatCode>
                <c:ptCount val="7"/>
                <c:pt idx="1">
                  <c:v>0.4559439825369378</c:v>
                </c:pt>
                <c:pt idx="2">
                  <c:v>0.49563509149805463</c:v>
                </c:pt>
                <c:pt idx="3">
                  <c:v>0.58924102595374583</c:v>
                </c:pt>
                <c:pt idx="4">
                  <c:v>0.63575574018160075</c:v>
                </c:pt>
                <c:pt idx="5">
                  <c:v>0.69003942901024629</c:v>
                </c:pt>
                <c:pt idx="6">
                  <c:v>0.7185897036816139</c:v>
                </c:pt>
              </c:numCache>
            </c:numRef>
          </c:val>
          <c:smooth val="0"/>
        </c:ser>
        <c:dLbls>
          <c:showLegendKey val="0"/>
          <c:showVal val="0"/>
          <c:showCatName val="0"/>
          <c:showSerName val="0"/>
          <c:showPercent val="0"/>
          <c:showBubbleSize val="0"/>
        </c:dLbls>
        <c:marker val="1"/>
        <c:smooth val="0"/>
        <c:axId val="460629192"/>
        <c:axId val="460633112"/>
      </c:lineChart>
      <c:lineChart>
        <c:grouping val="standard"/>
        <c:varyColors val="0"/>
        <c:ser>
          <c:idx val="2"/>
          <c:order val="2"/>
          <c:tx>
            <c:strRef>
              <c:f>'Forecasting Model'!$AO$28</c:f>
              <c:strCache>
                <c:ptCount val="1"/>
                <c:pt idx="0">
                  <c:v>Dividend Growth Rate</c:v>
                </c:pt>
              </c:strCache>
            </c:strRef>
          </c:tx>
          <c:spPr>
            <a:ln w="34925" cap="rnd">
              <a:solidFill>
                <a:schemeClr val="accent4"/>
              </a:solidFill>
              <a:round/>
            </a:ln>
            <a:effectLst>
              <a:outerShdw blurRad="40000" dist="23000" dir="5400000" rotWithShape="0">
                <a:srgbClr val="000000">
                  <a:alpha val="35000"/>
                </a:srgbClr>
              </a:outerShdw>
            </a:effectLst>
          </c:spPr>
          <c:marker>
            <c:symbol val="circle"/>
            <c:size val="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numRef>
              <c:f>'Forecasting Model'!$AP$4:$AV$4</c:f>
              <c:numCache>
                <c:formatCode>0</c:formatCode>
                <c:ptCount val="7"/>
                <c:pt idx="0">
                  <c:v>0</c:v>
                </c:pt>
                <c:pt idx="1">
                  <c:v>1</c:v>
                </c:pt>
                <c:pt idx="2">
                  <c:v>2</c:v>
                </c:pt>
                <c:pt idx="3">
                  <c:v>3</c:v>
                </c:pt>
                <c:pt idx="4">
                  <c:v>4</c:v>
                </c:pt>
                <c:pt idx="5">
                  <c:v>5</c:v>
                </c:pt>
                <c:pt idx="6">
                  <c:v>6</c:v>
                </c:pt>
              </c:numCache>
            </c:numRef>
          </c:cat>
          <c:val>
            <c:numRef>
              <c:f>'Forecasting Model'!$AP$28:$AV$28</c:f>
              <c:numCache>
                <c:formatCode>0.00%</c:formatCode>
                <c:ptCount val="7"/>
                <c:pt idx="1">
                  <c:v>0.23322497434414707</c:v>
                </c:pt>
                <c:pt idx="2">
                  <c:v>0.10336674553868351</c:v>
                </c:pt>
                <c:pt idx="3">
                  <c:v>0.15502328717393615</c:v>
                </c:pt>
                <c:pt idx="4">
                  <c:v>8.5118908846775893E-2</c:v>
                </c:pt>
                <c:pt idx="5">
                  <c:v>8.7267218087647133E-2</c:v>
                </c:pt>
              </c:numCache>
            </c:numRef>
          </c:val>
          <c:smooth val="0"/>
        </c:ser>
        <c:dLbls>
          <c:showLegendKey val="0"/>
          <c:showVal val="0"/>
          <c:showCatName val="0"/>
          <c:showSerName val="0"/>
          <c:showPercent val="0"/>
          <c:showBubbleSize val="0"/>
        </c:dLbls>
        <c:marker val="1"/>
        <c:smooth val="0"/>
        <c:axId val="460630760"/>
        <c:axId val="460630368"/>
      </c:lineChart>
      <c:catAx>
        <c:axId val="460629192"/>
        <c:scaling>
          <c:orientation val="minMax"/>
        </c:scaling>
        <c:delete val="0"/>
        <c:axPos val="b"/>
        <c:numFmt formatCode="0"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0633112"/>
        <c:crosses val="autoZero"/>
        <c:auto val="1"/>
        <c:lblAlgn val="ctr"/>
        <c:lblOffset val="100"/>
        <c:noMultiLvlLbl val="0"/>
      </c:catAx>
      <c:valAx>
        <c:axId val="460633112"/>
        <c:scaling>
          <c:orientation val="minMax"/>
        </c:scaling>
        <c:delete val="0"/>
        <c:axPos val="l"/>
        <c:majorGridlines>
          <c:spPr>
            <a:ln w="9525" cap="flat" cmpd="sng" algn="ctr">
              <a:solidFill>
                <a:schemeClr val="lt1">
                  <a:lumMod val="95000"/>
                  <a:alpha val="10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0629192"/>
        <c:crosses val="autoZero"/>
        <c:crossBetween val="between"/>
      </c:valAx>
      <c:valAx>
        <c:axId val="460630368"/>
        <c:scaling>
          <c:orientation val="minMax"/>
        </c:scaling>
        <c:delete val="0"/>
        <c:axPos val="r"/>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0630760"/>
        <c:crosses val="max"/>
        <c:crossBetween val="between"/>
      </c:valAx>
      <c:catAx>
        <c:axId val="460630760"/>
        <c:scaling>
          <c:orientation val="minMax"/>
        </c:scaling>
        <c:delete val="1"/>
        <c:axPos val="b"/>
        <c:numFmt formatCode="0" sourceLinked="1"/>
        <c:majorTickMark val="none"/>
        <c:minorTickMark val="none"/>
        <c:tickLblPos val="nextTo"/>
        <c:crossAx val="460630368"/>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Betas</a:t>
            </a:r>
            <a:r>
              <a:rPr lang="en-US" sz="1400" baseline="0"/>
              <a:t> of Asset and Stock</a:t>
            </a:r>
            <a:endParaRPr lang="en-US" sz="1400"/>
          </a:p>
        </c:rich>
      </c:tx>
      <c:layout/>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'Forecasting Model'!$AO$13</c:f>
              <c:strCache>
                <c:ptCount val="1"/>
                <c:pt idx="0">
                  <c:v>Beta of Assets</c:v>
                </c:pt>
              </c:strCache>
            </c:strRef>
          </c:tx>
          <c:spPr>
            <a:solidFill>
              <a:schemeClr val="accent6">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numRef>
              <c:f>'Forecasting Model'!$AP$4:$AU$4</c:f>
              <c:numCache>
                <c:formatCode>0</c:formatCode>
                <c:ptCount val="6"/>
                <c:pt idx="0">
                  <c:v>0</c:v>
                </c:pt>
                <c:pt idx="1">
                  <c:v>1</c:v>
                </c:pt>
                <c:pt idx="2">
                  <c:v>2</c:v>
                </c:pt>
                <c:pt idx="3">
                  <c:v>3</c:v>
                </c:pt>
                <c:pt idx="4">
                  <c:v>4</c:v>
                </c:pt>
                <c:pt idx="5">
                  <c:v>5</c:v>
                </c:pt>
              </c:numCache>
            </c:numRef>
          </c:cat>
          <c:val>
            <c:numRef>
              <c:f>'Forecasting Model'!$AP$13:$AU$13</c:f>
              <c:numCache>
                <c:formatCode>_(* #,##0.00_);_(* \(#,##0.00\);_(* "-"??_);_(@_)</c:formatCode>
                <c:ptCount val="6"/>
                <c:pt idx="0">
                  <c:v>1.2593802801282747</c:v>
                </c:pt>
                <c:pt idx="1">
                  <c:v>1.2593802801282747</c:v>
                </c:pt>
                <c:pt idx="2">
                  <c:v>1.2593802801282747</c:v>
                </c:pt>
                <c:pt idx="3">
                  <c:v>1.2593802801282747</c:v>
                </c:pt>
                <c:pt idx="4">
                  <c:v>1.2593802801282747</c:v>
                </c:pt>
                <c:pt idx="5">
                  <c:v>1.2593802801282747</c:v>
                </c:pt>
              </c:numCache>
            </c:numRef>
          </c:val>
        </c:ser>
        <c:ser>
          <c:idx val="1"/>
          <c:order val="1"/>
          <c:tx>
            <c:strRef>
              <c:f>'Forecasting Model'!$AO$15</c:f>
              <c:strCache>
                <c:ptCount val="1"/>
                <c:pt idx="0">
                  <c:v>Beta of Stock</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numRef>
              <c:f>'Forecasting Model'!$AP$4:$AU$4</c:f>
              <c:numCache>
                <c:formatCode>0</c:formatCode>
                <c:ptCount val="6"/>
                <c:pt idx="0">
                  <c:v>0</c:v>
                </c:pt>
                <c:pt idx="1">
                  <c:v>1</c:v>
                </c:pt>
                <c:pt idx="2">
                  <c:v>2</c:v>
                </c:pt>
                <c:pt idx="3">
                  <c:v>3</c:v>
                </c:pt>
                <c:pt idx="4">
                  <c:v>4</c:v>
                </c:pt>
                <c:pt idx="5">
                  <c:v>5</c:v>
                </c:pt>
              </c:numCache>
            </c:numRef>
          </c:cat>
          <c:val>
            <c:numRef>
              <c:f>'Forecasting Model'!$AP$15:$AU$15</c:f>
              <c:numCache>
                <c:formatCode>_(* #,##0.00_);_(* \(#,##0.00\);_(* "-"??_);_(@_)</c:formatCode>
                <c:ptCount val="6"/>
                <c:pt idx="0">
                  <c:v>1.4</c:v>
                </c:pt>
                <c:pt idx="1">
                  <c:v>1.4045902849278658</c:v>
                </c:pt>
                <c:pt idx="2">
                  <c:v>1.407451008374724</c:v>
                </c:pt>
                <c:pt idx="3">
                  <c:v>1.4130666914039924</c:v>
                </c:pt>
                <c:pt idx="4">
                  <c:v>1.4182649928284077</c:v>
                </c:pt>
                <c:pt idx="5">
                  <c:v>1.4239518902274042</c:v>
                </c:pt>
              </c:numCache>
            </c:numRef>
          </c:val>
        </c:ser>
        <c:dLbls>
          <c:dLblPos val="inEnd"/>
          <c:showLegendKey val="0"/>
          <c:showVal val="1"/>
          <c:showCatName val="0"/>
          <c:showSerName val="0"/>
          <c:showPercent val="0"/>
          <c:showBubbleSize val="0"/>
        </c:dLbls>
        <c:gapWidth val="65"/>
        <c:axId val="460631544"/>
        <c:axId val="460628016"/>
      </c:barChart>
      <c:catAx>
        <c:axId val="460631544"/>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Year</a:t>
                </a:r>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60628016"/>
        <c:crosses val="autoZero"/>
        <c:auto val="1"/>
        <c:lblAlgn val="ctr"/>
        <c:lblOffset val="100"/>
        <c:noMultiLvlLbl val="0"/>
      </c:catAx>
      <c:valAx>
        <c:axId val="46062801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Beta</a:t>
                </a:r>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_(* #,##0.00_);_(* \(#,##0.00\);_(* &quot;-&quot;??_);_(@_)" sourceLinked="1"/>
        <c:majorTickMark val="none"/>
        <c:minorTickMark val="none"/>
        <c:tickLblPos val="nextTo"/>
        <c:crossAx val="460631544"/>
        <c:crosses val="autoZero"/>
        <c:crossBetween val="between"/>
      </c:valAx>
      <c:spPr>
        <a:noFill/>
        <a:ln>
          <a:noFill/>
        </a:ln>
        <a:effectLst/>
      </c:spPr>
    </c:plotArea>
    <c:legend>
      <c:legendPos val="b"/>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34</xdr:col>
      <xdr:colOff>348526</xdr:colOff>
      <xdr:row>108</xdr:row>
      <xdr:rowOff>75774</xdr:rowOff>
    </xdr:from>
    <xdr:to>
      <xdr:col>45</xdr:col>
      <xdr:colOff>108232</xdr:colOff>
      <xdr:row>131</xdr:row>
      <xdr:rowOff>142542</xdr:rowOff>
    </xdr:to>
    <xdr:pic>
      <xdr:nvPicPr>
        <xdr:cNvPr id="10" name="Picture 9"/>
        <xdr:cNvPicPr>
          <a:picLocks noChangeAspect="1"/>
        </xdr:cNvPicPr>
      </xdr:nvPicPr>
      <xdr:blipFill>
        <a:blip xmlns:r="http://schemas.openxmlformats.org/officeDocument/2006/relationships" r:embed="rId1"/>
        <a:stretch>
          <a:fillRect/>
        </a:stretch>
      </xdr:blipFill>
      <xdr:spPr>
        <a:xfrm>
          <a:off x="31271439" y="19749662"/>
          <a:ext cx="8122656" cy="4233955"/>
        </a:xfrm>
        <a:prstGeom prst="rect">
          <a:avLst/>
        </a:prstGeom>
      </xdr:spPr>
    </xdr:pic>
    <xdr:clientData/>
  </xdr:twoCellAnchor>
  <xdr:twoCellAnchor>
    <xdr:from>
      <xdr:col>8</xdr:col>
      <xdr:colOff>20641</xdr:colOff>
      <xdr:row>13</xdr:row>
      <xdr:rowOff>17462</xdr:rowOff>
    </xdr:from>
    <xdr:to>
      <xdr:col>9</xdr:col>
      <xdr:colOff>723900</xdr:colOff>
      <xdr:row>17</xdr:row>
      <xdr:rowOff>61911</xdr:rowOff>
    </xdr:to>
    <xdr:grpSp>
      <xdr:nvGrpSpPr>
        <xdr:cNvPr id="4" name="Group 3"/>
        <xdr:cNvGrpSpPr/>
      </xdr:nvGrpSpPr>
      <xdr:grpSpPr>
        <a:xfrm>
          <a:off x="9717091" y="2393950"/>
          <a:ext cx="1431922" cy="777874"/>
          <a:chOff x="8515354" y="2047875"/>
          <a:chExt cx="1323976" cy="752475"/>
        </a:xfrm>
      </xdr:grpSpPr>
      <xdr:sp macro="" textlink="$AP$7">
        <xdr:nvSpPr>
          <xdr:cNvPr id="2" name="TextBox 1"/>
          <xdr:cNvSpPr txBox="1"/>
        </xdr:nvSpPr>
        <xdr:spPr>
          <a:xfrm>
            <a:off x="8520113" y="2276475"/>
            <a:ext cx="1314450" cy="523875"/>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E012E3-F747-418E-BB3E-46D8D62FE504}" type="TxLink">
              <a:rPr lang="en-US" sz="2000" b="1" i="0" u="none" strike="noStrike">
                <a:solidFill>
                  <a:schemeClr val="bg1"/>
                </a:solidFill>
                <a:latin typeface="Calibri"/>
                <a:ea typeface="Calibri"/>
                <a:cs typeface="Calibri"/>
              </a:rPr>
              <a:pPr algn="ctr"/>
              <a:t> $10.62 </a:t>
            </a:fld>
            <a:endParaRPr lang="en-US" sz="1800" b="1">
              <a:solidFill>
                <a:schemeClr val="bg1"/>
              </a:solidFill>
            </a:endParaRPr>
          </a:p>
        </xdr:txBody>
      </xdr:sp>
      <xdr:sp macro="" textlink="">
        <xdr:nvSpPr>
          <xdr:cNvPr id="3" name="TextBox 2"/>
          <xdr:cNvSpPr txBox="1"/>
        </xdr:nvSpPr>
        <xdr:spPr>
          <a:xfrm>
            <a:off x="8515354" y="2047875"/>
            <a:ext cx="1323976" cy="223838"/>
          </a:xfrm>
          <a:prstGeom prst="rect">
            <a:avLst/>
          </a:prstGeom>
          <a:solidFill>
            <a:srgbClr val="00206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Value of Stock</a:t>
            </a:r>
          </a:p>
        </xdr:txBody>
      </xdr:sp>
    </xdr:grpSp>
    <xdr:clientData fLocksWithSheet="0" fPrintsWithSheet="0"/>
  </xdr:twoCellAnchor>
  <xdr:twoCellAnchor editAs="oneCell">
    <xdr:from>
      <xdr:col>34</xdr:col>
      <xdr:colOff>377105</xdr:colOff>
      <xdr:row>81</xdr:row>
      <xdr:rowOff>173183</xdr:rowOff>
    </xdr:from>
    <xdr:to>
      <xdr:col>47</xdr:col>
      <xdr:colOff>94388</xdr:colOff>
      <xdr:row>108</xdr:row>
      <xdr:rowOff>110545</xdr:rowOff>
    </xdr:to>
    <xdr:pic>
      <xdr:nvPicPr>
        <xdr:cNvPr id="6" name="Picture 5"/>
        <xdr:cNvPicPr>
          <a:picLocks noChangeAspect="1"/>
        </xdr:cNvPicPr>
      </xdr:nvPicPr>
      <xdr:blipFill>
        <a:blip xmlns:r="http://schemas.openxmlformats.org/officeDocument/2006/relationships" r:embed="rId2"/>
        <a:stretch>
          <a:fillRect/>
        </a:stretch>
      </xdr:blipFill>
      <xdr:spPr>
        <a:xfrm>
          <a:off x="32747818" y="16494271"/>
          <a:ext cx="9137508" cy="4833212"/>
        </a:xfrm>
        <a:prstGeom prst="rect">
          <a:avLst/>
        </a:prstGeom>
      </xdr:spPr>
    </xdr:pic>
    <xdr:clientData/>
  </xdr:twoCellAnchor>
  <xdr:twoCellAnchor>
    <xdr:from>
      <xdr:col>8</xdr:col>
      <xdr:colOff>0</xdr:colOff>
      <xdr:row>47</xdr:row>
      <xdr:rowOff>152398</xdr:rowOff>
    </xdr:from>
    <xdr:to>
      <xdr:col>9</xdr:col>
      <xdr:colOff>704849</xdr:colOff>
      <xdr:row>52</xdr:row>
      <xdr:rowOff>25395</xdr:rowOff>
    </xdr:to>
    <xdr:grpSp>
      <xdr:nvGrpSpPr>
        <xdr:cNvPr id="7" name="Group 6"/>
        <xdr:cNvGrpSpPr/>
      </xdr:nvGrpSpPr>
      <xdr:grpSpPr>
        <a:xfrm>
          <a:off x="9696450" y="8762998"/>
          <a:ext cx="1433512" cy="777872"/>
          <a:chOff x="8515353" y="2047876"/>
          <a:chExt cx="1323976" cy="752474"/>
        </a:xfrm>
      </xdr:grpSpPr>
      <xdr:sp macro="" textlink="$AP$7">
        <xdr:nvSpPr>
          <xdr:cNvPr id="8" name="TextBox 7"/>
          <xdr:cNvSpPr txBox="1"/>
        </xdr:nvSpPr>
        <xdr:spPr>
          <a:xfrm>
            <a:off x="8520113" y="2276475"/>
            <a:ext cx="1314450" cy="523875"/>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E012E3-F747-418E-BB3E-46D8D62FE504}" type="TxLink">
              <a:rPr lang="en-US" sz="2000" b="1" i="0" u="none" strike="noStrike">
                <a:solidFill>
                  <a:schemeClr val="bg1"/>
                </a:solidFill>
                <a:latin typeface="Calibri"/>
                <a:ea typeface="Calibri"/>
                <a:cs typeface="Calibri"/>
              </a:rPr>
              <a:pPr algn="ctr"/>
              <a:t> $10.62 </a:t>
            </a:fld>
            <a:endParaRPr lang="en-US" sz="1800" b="1">
              <a:solidFill>
                <a:schemeClr val="bg1"/>
              </a:solidFill>
            </a:endParaRPr>
          </a:p>
        </xdr:txBody>
      </xdr:sp>
      <xdr:sp macro="" textlink="">
        <xdr:nvSpPr>
          <xdr:cNvPr id="9" name="TextBox 8"/>
          <xdr:cNvSpPr txBox="1"/>
        </xdr:nvSpPr>
        <xdr:spPr>
          <a:xfrm>
            <a:off x="8515353" y="2047876"/>
            <a:ext cx="1323976" cy="223838"/>
          </a:xfrm>
          <a:prstGeom prst="rect">
            <a:avLst/>
          </a:prstGeom>
          <a:solidFill>
            <a:srgbClr val="00206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Value of Stock</a:t>
            </a:r>
          </a:p>
        </xdr:txBody>
      </xdr:sp>
    </xdr:grpSp>
    <xdr:clientData fLocksWithSheet="0" fPrintsWithSheet="0"/>
  </xdr:twoCellAnchor>
  <xdr:twoCellAnchor>
    <xdr:from>
      <xdr:col>8</xdr:col>
      <xdr:colOff>14289</xdr:colOff>
      <xdr:row>79</xdr:row>
      <xdr:rowOff>19052</xdr:rowOff>
    </xdr:from>
    <xdr:to>
      <xdr:col>10</xdr:col>
      <xdr:colOff>23814</xdr:colOff>
      <xdr:row>83</xdr:row>
      <xdr:rowOff>73026</xdr:rowOff>
    </xdr:to>
    <xdr:grpSp>
      <xdr:nvGrpSpPr>
        <xdr:cNvPr id="11" name="Group 10"/>
        <xdr:cNvGrpSpPr/>
      </xdr:nvGrpSpPr>
      <xdr:grpSpPr>
        <a:xfrm>
          <a:off x="9710739" y="14430377"/>
          <a:ext cx="1466850" cy="782637"/>
          <a:chOff x="8515353" y="2043268"/>
          <a:chExt cx="1323976" cy="757082"/>
        </a:xfrm>
      </xdr:grpSpPr>
      <xdr:sp macro="" textlink="$AP$7">
        <xdr:nvSpPr>
          <xdr:cNvPr id="12" name="TextBox 11"/>
          <xdr:cNvSpPr txBox="1"/>
        </xdr:nvSpPr>
        <xdr:spPr>
          <a:xfrm>
            <a:off x="8520113" y="2276475"/>
            <a:ext cx="1314450" cy="523875"/>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E012E3-F747-418E-BB3E-46D8D62FE504}" type="TxLink">
              <a:rPr lang="en-US" sz="2000" b="1" i="0" u="none" strike="noStrike">
                <a:solidFill>
                  <a:schemeClr val="bg1"/>
                </a:solidFill>
                <a:latin typeface="Calibri"/>
                <a:ea typeface="Calibri"/>
                <a:cs typeface="Calibri"/>
              </a:rPr>
              <a:pPr algn="ctr"/>
              <a:t> $10.62 </a:t>
            </a:fld>
            <a:endParaRPr lang="en-US" sz="1800" b="1">
              <a:solidFill>
                <a:schemeClr val="bg1"/>
              </a:solidFill>
            </a:endParaRPr>
          </a:p>
        </xdr:txBody>
      </xdr:sp>
      <xdr:sp macro="" textlink="">
        <xdr:nvSpPr>
          <xdr:cNvPr id="13" name="TextBox 12"/>
          <xdr:cNvSpPr txBox="1"/>
        </xdr:nvSpPr>
        <xdr:spPr>
          <a:xfrm>
            <a:off x="8515353" y="2043268"/>
            <a:ext cx="1323976" cy="223838"/>
          </a:xfrm>
          <a:prstGeom prst="rect">
            <a:avLst/>
          </a:prstGeom>
          <a:solidFill>
            <a:srgbClr val="00206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Value of Stock</a:t>
            </a:r>
          </a:p>
        </xdr:txBody>
      </xdr:sp>
    </xdr:grpSp>
    <xdr:clientData fLocksWithSheet="0" fPrintsWithSheet="0"/>
  </xdr:twoCellAnchor>
  <xdr:twoCellAnchor>
    <xdr:from>
      <xdr:col>8</xdr:col>
      <xdr:colOff>33335</xdr:colOff>
      <xdr:row>113</xdr:row>
      <xdr:rowOff>47623</xdr:rowOff>
    </xdr:from>
    <xdr:to>
      <xdr:col>10</xdr:col>
      <xdr:colOff>28572</xdr:colOff>
      <xdr:row>117</xdr:row>
      <xdr:rowOff>111119</xdr:rowOff>
    </xdr:to>
    <xdr:grpSp>
      <xdr:nvGrpSpPr>
        <xdr:cNvPr id="17" name="Group 16"/>
        <xdr:cNvGrpSpPr/>
      </xdr:nvGrpSpPr>
      <xdr:grpSpPr>
        <a:xfrm>
          <a:off x="9729785" y="20631148"/>
          <a:ext cx="1452562" cy="787396"/>
          <a:chOff x="8511009" y="2033970"/>
          <a:chExt cx="1323976" cy="766380"/>
        </a:xfrm>
      </xdr:grpSpPr>
      <xdr:sp macro="" textlink="$AP$7">
        <xdr:nvSpPr>
          <xdr:cNvPr id="18" name="TextBox 17"/>
          <xdr:cNvSpPr txBox="1"/>
        </xdr:nvSpPr>
        <xdr:spPr>
          <a:xfrm>
            <a:off x="8520113" y="2276475"/>
            <a:ext cx="1314450" cy="523875"/>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E012E3-F747-418E-BB3E-46D8D62FE504}" type="TxLink">
              <a:rPr lang="en-US" sz="2000" b="1" i="0" u="none" strike="noStrike">
                <a:solidFill>
                  <a:schemeClr val="bg1"/>
                </a:solidFill>
                <a:latin typeface="Calibri"/>
                <a:ea typeface="Calibri"/>
                <a:cs typeface="Calibri"/>
              </a:rPr>
              <a:pPr algn="ctr"/>
              <a:t> $10.62 </a:t>
            </a:fld>
            <a:endParaRPr lang="en-US" sz="1800" b="1">
              <a:solidFill>
                <a:schemeClr val="bg1"/>
              </a:solidFill>
            </a:endParaRPr>
          </a:p>
        </xdr:txBody>
      </xdr:sp>
      <xdr:sp macro="" textlink="">
        <xdr:nvSpPr>
          <xdr:cNvPr id="19" name="TextBox 18"/>
          <xdr:cNvSpPr txBox="1"/>
        </xdr:nvSpPr>
        <xdr:spPr>
          <a:xfrm>
            <a:off x="8511009" y="2033970"/>
            <a:ext cx="1323976" cy="223839"/>
          </a:xfrm>
          <a:prstGeom prst="rect">
            <a:avLst/>
          </a:prstGeom>
          <a:solidFill>
            <a:srgbClr val="00206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Value of Stock</a:t>
            </a:r>
          </a:p>
        </xdr:txBody>
      </xdr:sp>
    </xdr:grpSp>
    <xdr:clientData fLocksWithSheet="0" fPrintsWithSheet="0"/>
  </xdr:twoCellAnchor>
  <xdr:twoCellAnchor>
    <xdr:from>
      <xdr:col>8</xdr:col>
      <xdr:colOff>2386013</xdr:colOff>
      <xdr:row>1</xdr:row>
      <xdr:rowOff>80963</xdr:rowOff>
    </xdr:from>
    <xdr:to>
      <xdr:col>10</xdr:col>
      <xdr:colOff>338139</xdr:colOff>
      <xdr:row>3</xdr:row>
      <xdr:rowOff>195262</xdr:rowOff>
    </xdr:to>
    <xdr:sp macro="[0]!Backup" textlink="">
      <xdr:nvSpPr>
        <xdr:cNvPr id="5" name="TextBox 4"/>
        <xdr:cNvSpPr txBox="1"/>
      </xdr:nvSpPr>
      <xdr:spPr>
        <a:xfrm>
          <a:off x="11844338" y="280988"/>
          <a:ext cx="981076" cy="519112"/>
        </a:xfrm>
        <a:prstGeom prst="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Click</a:t>
          </a:r>
          <a:r>
            <a:rPr lang="en-US" sz="1100" baseline="0"/>
            <a:t> to Save a </a:t>
          </a:r>
          <a:r>
            <a:rPr lang="en-US" sz="1100"/>
            <a:t>Backup</a:t>
          </a:r>
        </a:p>
      </xdr:txBody>
    </xdr:sp>
    <xdr:clientData/>
  </xdr:twoCellAnchor>
  <xdr:twoCellAnchor>
    <xdr:from>
      <xdr:col>8</xdr:col>
      <xdr:colOff>2376489</xdr:colOff>
      <xdr:row>4</xdr:row>
      <xdr:rowOff>109536</xdr:rowOff>
    </xdr:from>
    <xdr:to>
      <xdr:col>10</xdr:col>
      <xdr:colOff>347663</xdr:colOff>
      <xdr:row>7</xdr:row>
      <xdr:rowOff>147637</xdr:rowOff>
    </xdr:to>
    <xdr:sp macro="[0]!Restore" textlink="">
      <xdr:nvSpPr>
        <xdr:cNvPr id="20" name="TextBox 19"/>
        <xdr:cNvSpPr txBox="1"/>
      </xdr:nvSpPr>
      <xdr:spPr>
        <a:xfrm>
          <a:off x="11834814" y="919161"/>
          <a:ext cx="1000124" cy="647701"/>
        </a:xfrm>
        <a:prstGeom prst="rect">
          <a:avLst/>
        </a:prstGeom>
        <a:solidFill>
          <a:srgbClr val="00B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Click to Restore to Default</a:t>
          </a:r>
        </a:p>
      </xdr:txBody>
    </xdr:sp>
    <xdr:clientData/>
  </xdr:twoCellAnchor>
  <xdr:twoCellAnchor>
    <xdr:from>
      <xdr:col>8</xdr:col>
      <xdr:colOff>23812</xdr:colOff>
      <xdr:row>136</xdr:row>
      <xdr:rowOff>0</xdr:rowOff>
    </xdr:from>
    <xdr:to>
      <xdr:col>10</xdr:col>
      <xdr:colOff>19049</xdr:colOff>
      <xdr:row>140</xdr:row>
      <xdr:rowOff>49211</xdr:rowOff>
    </xdr:to>
    <xdr:grpSp>
      <xdr:nvGrpSpPr>
        <xdr:cNvPr id="21" name="Group 20"/>
        <xdr:cNvGrpSpPr/>
      </xdr:nvGrpSpPr>
      <xdr:grpSpPr>
        <a:xfrm>
          <a:off x="9720262" y="24745950"/>
          <a:ext cx="1452562" cy="773111"/>
          <a:chOff x="8515352" y="2047875"/>
          <a:chExt cx="1323976" cy="752475"/>
        </a:xfrm>
      </xdr:grpSpPr>
      <xdr:sp macro="" textlink="$AP$7">
        <xdr:nvSpPr>
          <xdr:cNvPr id="22" name="TextBox 21"/>
          <xdr:cNvSpPr txBox="1"/>
        </xdr:nvSpPr>
        <xdr:spPr>
          <a:xfrm>
            <a:off x="8520113" y="2276475"/>
            <a:ext cx="1314450" cy="523875"/>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E012E3-F747-418E-BB3E-46D8D62FE504}" type="TxLink">
              <a:rPr lang="en-US" sz="2000" b="1" i="0" u="none" strike="noStrike">
                <a:solidFill>
                  <a:schemeClr val="bg1"/>
                </a:solidFill>
                <a:latin typeface="Calibri"/>
                <a:ea typeface="Calibri"/>
                <a:cs typeface="Calibri"/>
              </a:rPr>
              <a:pPr algn="ctr"/>
              <a:t> $10.62 </a:t>
            </a:fld>
            <a:endParaRPr lang="en-US" sz="1800" b="1">
              <a:solidFill>
                <a:schemeClr val="bg1"/>
              </a:solidFill>
            </a:endParaRPr>
          </a:p>
        </xdr:txBody>
      </xdr:sp>
      <xdr:sp macro="" textlink="">
        <xdr:nvSpPr>
          <xdr:cNvPr id="23" name="TextBox 22"/>
          <xdr:cNvSpPr txBox="1"/>
        </xdr:nvSpPr>
        <xdr:spPr>
          <a:xfrm>
            <a:off x="8515352" y="2047875"/>
            <a:ext cx="1323976" cy="223838"/>
          </a:xfrm>
          <a:prstGeom prst="rect">
            <a:avLst/>
          </a:prstGeom>
          <a:solidFill>
            <a:srgbClr val="00206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Value of Stock</a:t>
            </a:r>
          </a:p>
        </xdr:txBody>
      </xdr:sp>
    </xdr:grpSp>
    <xdr:clientData fLocksWithSheet="0" fPrintsWithSheet="0"/>
  </xdr:twoCellAnchor>
  <xdr:twoCellAnchor>
    <xdr:from>
      <xdr:col>11</xdr:col>
      <xdr:colOff>583404</xdr:colOff>
      <xdr:row>0</xdr:row>
      <xdr:rowOff>150018</xdr:rowOff>
    </xdr:from>
    <xdr:to>
      <xdr:col>18</xdr:col>
      <xdr:colOff>54767</xdr:colOff>
      <xdr:row>15</xdr:row>
      <xdr:rowOff>150018</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571499</xdr:colOff>
      <xdr:row>16</xdr:row>
      <xdr:rowOff>54767</xdr:rowOff>
    </xdr:from>
    <xdr:to>
      <xdr:col>18</xdr:col>
      <xdr:colOff>109537</xdr:colOff>
      <xdr:row>33</xdr:row>
      <xdr:rowOff>66674</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602455</xdr:colOff>
      <xdr:row>34</xdr:row>
      <xdr:rowOff>7142</xdr:rowOff>
    </xdr:from>
    <xdr:to>
      <xdr:col>18</xdr:col>
      <xdr:colOff>73818</xdr:colOff>
      <xdr:row>49</xdr:row>
      <xdr:rowOff>2380</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592931</xdr:colOff>
      <xdr:row>49</xdr:row>
      <xdr:rowOff>102393</xdr:rowOff>
    </xdr:from>
    <xdr:to>
      <xdr:col>18</xdr:col>
      <xdr:colOff>64294</xdr:colOff>
      <xdr:row>64</xdr:row>
      <xdr:rowOff>130968</xdr:rowOff>
    </xdr:to>
    <xdr:graphicFrame macro="">
      <xdr:nvGraphicFramePr>
        <xdr:cNvPr id="24" name="Chart 2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R41"/>
  <sheetViews>
    <sheetView showGridLines="0" zoomScaleNormal="100" workbookViewId="0">
      <selection activeCell="B2" sqref="B2:R41"/>
    </sheetView>
  </sheetViews>
  <sheetFormatPr defaultRowHeight="15.75" x14ac:dyDescent="0.5"/>
  <cols>
    <col min="1" max="16384" width="9.06640625" style="1"/>
  </cols>
  <sheetData>
    <row r="1" spans="2:18" ht="16.149999999999999" thickBot="1" x14ac:dyDescent="0.55000000000000004"/>
    <row r="2" spans="2:18" x14ac:dyDescent="0.5">
      <c r="B2" s="87" t="s">
        <v>155</v>
      </c>
      <c r="C2" s="88"/>
      <c r="D2" s="88"/>
      <c r="E2" s="88"/>
      <c r="F2" s="88"/>
      <c r="G2" s="88"/>
      <c r="H2" s="88"/>
      <c r="I2" s="88"/>
      <c r="J2" s="88"/>
      <c r="K2" s="88"/>
      <c r="L2" s="88"/>
      <c r="M2" s="88"/>
      <c r="N2" s="88"/>
      <c r="O2" s="88"/>
      <c r="P2" s="88"/>
      <c r="Q2" s="88"/>
      <c r="R2" s="89"/>
    </row>
    <row r="3" spans="2:18" x14ac:dyDescent="0.5">
      <c r="B3" s="90"/>
      <c r="C3" s="91"/>
      <c r="D3" s="91"/>
      <c r="E3" s="91"/>
      <c r="F3" s="91"/>
      <c r="G3" s="91"/>
      <c r="H3" s="91"/>
      <c r="I3" s="91"/>
      <c r="J3" s="91"/>
      <c r="K3" s="91"/>
      <c r="L3" s="91"/>
      <c r="M3" s="91"/>
      <c r="N3" s="91"/>
      <c r="O3" s="91"/>
      <c r="P3" s="91"/>
      <c r="Q3" s="91"/>
      <c r="R3" s="92"/>
    </row>
    <row r="4" spans="2:18" x14ac:dyDescent="0.5">
      <c r="B4" s="90"/>
      <c r="C4" s="91"/>
      <c r="D4" s="91"/>
      <c r="E4" s="91"/>
      <c r="F4" s="91"/>
      <c r="G4" s="91"/>
      <c r="H4" s="91"/>
      <c r="I4" s="91"/>
      <c r="J4" s="91"/>
      <c r="K4" s="91"/>
      <c r="L4" s="91"/>
      <c r="M4" s="91"/>
      <c r="N4" s="91"/>
      <c r="O4" s="91"/>
      <c r="P4" s="91"/>
      <c r="Q4" s="91"/>
      <c r="R4" s="92"/>
    </row>
    <row r="5" spans="2:18" x14ac:dyDescent="0.5">
      <c r="B5" s="90"/>
      <c r="C5" s="91"/>
      <c r="D5" s="91"/>
      <c r="E5" s="91"/>
      <c r="F5" s="91"/>
      <c r="G5" s="91"/>
      <c r="H5" s="91"/>
      <c r="I5" s="91"/>
      <c r="J5" s="91"/>
      <c r="K5" s="91"/>
      <c r="L5" s="91"/>
      <c r="M5" s="91"/>
      <c r="N5" s="91"/>
      <c r="O5" s="91"/>
      <c r="P5" s="91"/>
      <c r="Q5" s="91"/>
      <c r="R5" s="92"/>
    </row>
    <row r="6" spans="2:18" x14ac:dyDescent="0.5">
      <c r="B6" s="90"/>
      <c r="C6" s="91"/>
      <c r="D6" s="91"/>
      <c r="E6" s="91"/>
      <c r="F6" s="91"/>
      <c r="G6" s="91"/>
      <c r="H6" s="91"/>
      <c r="I6" s="91"/>
      <c r="J6" s="91"/>
      <c r="K6" s="91"/>
      <c r="L6" s="91"/>
      <c r="M6" s="91"/>
      <c r="N6" s="91"/>
      <c r="O6" s="91"/>
      <c r="P6" s="91"/>
      <c r="Q6" s="91"/>
      <c r="R6" s="92"/>
    </row>
    <row r="7" spans="2:18" x14ac:dyDescent="0.5">
      <c r="B7" s="90"/>
      <c r="C7" s="91"/>
      <c r="D7" s="91"/>
      <c r="E7" s="91"/>
      <c r="F7" s="91"/>
      <c r="G7" s="91"/>
      <c r="H7" s="91"/>
      <c r="I7" s="91"/>
      <c r="J7" s="91"/>
      <c r="K7" s="91"/>
      <c r="L7" s="91"/>
      <c r="M7" s="91"/>
      <c r="N7" s="91"/>
      <c r="O7" s="91"/>
      <c r="P7" s="91"/>
      <c r="Q7" s="91"/>
      <c r="R7" s="92"/>
    </row>
    <row r="8" spans="2:18" x14ac:dyDescent="0.5">
      <c r="B8" s="90"/>
      <c r="C8" s="91"/>
      <c r="D8" s="91"/>
      <c r="E8" s="91"/>
      <c r="F8" s="91"/>
      <c r="G8" s="91"/>
      <c r="H8" s="91"/>
      <c r="I8" s="91"/>
      <c r="J8" s="91"/>
      <c r="K8" s="91"/>
      <c r="L8" s="91"/>
      <c r="M8" s="91"/>
      <c r="N8" s="91"/>
      <c r="O8" s="91"/>
      <c r="P8" s="91"/>
      <c r="Q8" s="91"/>
      <c r="R8" s="92"/>
    </row>
    <row r="9" spans="2:18" x14ac:dyDescent="0.5">
      <c r="B9" s="90"/>
      <c r="C9" s="91"/>
      <c r="D9" s="91"/>
      <c r="E9" s="91"/>
      <c r="F9" s="91"/>
      <c r="G9" s="91"/>
      <c r="H9" s="91"/>
      <c r="I9" s="91"/>
      <c r="J9" s="91"/>
      <c r="K9" s="91"/>
      <c r="L9" s="91"/>
      <c r="M9" s="91"/>
      <c r="N9" s="91"/>
      <c r="O9" s="91"/>
      <c r="P9" s="91"/>
      <c r="Q9" s="91"/>
      <c r="R9" s="92"/>
    </row>
    <row r="10" spans="2:18" x14ac:dyDescent="0.5">
      <c r="B10" s="90"/>
      <c r="C10" s="91"/>
      <c r="D10" s="91"/>
      <c r="E10" s="91"/>
      <c r="F10" s="91"/>
      <c r="G10" s="91"/>
      <c r="H10" s="91"/>
      <c r="I10" s="91"/>
      <c r="J10" s="91"/>
      <c r="K10" s="91"/>
      <c r="L10" s="91"/>
      <c r="M10" s="91"/>
      <c r="N10" s="91"/>
      <c r="O10" s="91"/>
      <c r="P10" s="91"/>
      <c r="Q10" s="91"/>
      <c r="R10" s="92"/>
    </row>
    <row r="11" spans="2:18" x14ac:dyDescent="0.5">
      <c r="B11" s="90"/>
      <c r="C11" s="91"/>
      <c r="D11" s="91"/>
      <c r="E11" s="91"/>
      <c r="F11" s="91"/>
      <c r="G11" s="91"/>
      <c r="H11" s="91"/>
      <c r="I11" s="91"/>
      <c r="J11" s="91"/>
      <c r="K11" s="91"/>
      <c r="L11" s="91"/>
      <c r="M11" s="91"/>
      <c r="N11" s="91"/>
      <c r="O11" s="91"/>
      <c r="P11" s="91"/>
      <c r="Q11" s="91"/>
      <c r="R11" s="92"/>
    </row>
    <row r="12" spans="2:18" x14ac:dyDescent="0.5">
      <c r="B12" s="90"/>
      <c r="C12" s="91"/>
      <c r="D12" s="91"/>
      <c r="E12" s="91"/>
      <c r="F12" s="91"/>
      <c r="G12" s="91"/>
      <c r="H12" s="91"/>
      <c r="I12" s="91"/>
      <c r="J12" s="91"/>
      <c r="K12" s="91"/>
      <c r="L12" s="91"/>
      <c r="M12" s="91"/>
      <c r="N12" s="91"/>
      <c r="O12" s="91"/>
      <c r="P12" s="91"/>
      <c r="Q12" s="91"/>
      <c r="R12" s="92"/>
    </row>
    <row r="13" spans="2:18" x14ac:dyDescent="0.5">
      <c r="B13" s="90"/>
      <c r="C13" s="91"/>
      <c r="D13" s="91"/>
      <c r="E13" s="91"/>
      <c r="F13" s="91"/>
      <c r="G13" s="91"/>
      <c r="H13" s="91"/>
      <c r="I13" s="91"/>
      <c r="J13" s="91"/>
      <c r="K13" s="91"/>
      <c r="L13" s="91"/>
      <c r="M13" s="91"/>
      <c r="N13" s="91"/>
      <c r="O13" s="91"/>
      <c r="P13" s="91"/>
      <c r="Q13" s="91"/>
      <c r="R13" s="92"/>
    </row>
    <row r="14" spans="2:18" x14ac:dyDescent="0.5">
      <c r="B14" s="90"/>
      <c r="C14" s="91"/>
      <c r="D14" s="91"/>
      <c r="E14" s="91"/>
      <c r="F14" s="91"/>
      <c r="G14" s="91"/>
      <c r="H14" s="91"/>
      <c r="I14" s="91"/>
      <c r="J14" s="91"/>
      <c r="K14" s="91"/>
      <c r="L14" s="91"/>
      <c r="M14" s="91"/>
      <c r="N14" s="91"/>
      <c r="O14" s="91"/>
      <c r="P14" s="91"/>
      <c r="Q14" s="91"/>
      <c r="R14" s="92"/>
    </row>
    <row r="15" spans="2:18" x14ac:dyDescent="0.5">
      <c r="B15" s="90"/>
      <c r="C15" s="91"/>
      <c r="D15" s="91"/>
      <c r="E15" s="91"/>
      <c r="F15" s="91"/>
      <c r="G15" s="91"/>
      <c r="H15" s="91"/>
      <c r="I15" s="91"/>
      <c r="J15" s="91"/>
      <c r="K15" s="91"/>
      <c r="L15" s="91"/>
      <c r="M15" s="91"/>
      <c r="N15" s="91"/>
      <c r="O15" s="91"/>
      <c r="P15" s="91"/>
      <c r="Q15" s="91"/>
      <c r="R15" s="92"/>
    </row>
    <row r="16" spans="2:18" x14ac:dyDescent="0.5">
      <c r="B16" s="90"/>
      <c r="C16" s="91"/>
      <c r="D16" s="91"/>
      <c r="E16" s="91"/>
      <c r="F16" s="91"/>
      <c r="G16" s="91"/>
      <c r="H16" s="91"/>
      <c r="I16" s="91"/>
      <c r="J16" s="91"/>
      <c r="K16" s="91"/>
      <c r="L16" s="91"/>
      <c r="M16" s="91"/>
      <c r="N16" s="91"/>
      <c r="O16" s="91"/>
      <c r="P16" s="91"/>
      <c r="Q16" s="91"/>
      <c r="R16" s="92"/>
    </row>
    <row r="17" spans="2:18" x14ac:dyDescent="0.5">
      <c r="B17" s="90"/>
      <c r="C17" s="91"/>
      <c r="D17" s="91"/>
      <c r="E17" s="91"/>
      <c r="F17" s="91"/>
      <c r="G17" s="91"/>
      <c r="H17" s="91"/>
      <c r="I17" s="91"/>
      <c r="J17" s="91"/>
      <c r="K17" s="91"/>
      <c r="L17" s="91"/>
      <c r="M17" s="91"/>
      <c r="N17" s="91"/>
      <c r="O17" s="91"/>
      <c r="P17" s="91"/>
      <c r="Q17" s="91"/>
      <c r="R17" s="92"/>
    </row>
    <row r="18" spans="2:18" x14ac:dyDescent="0.5">
      <c r="B18" s="90"/>
      <c r="C18" s="91"/>
      <c r="D18" s="91"/>
      <c r="E18" s="91"/>
      <c r="F18" s="91"/>
      <c r="G18" s="91"/>
      <c r="H18" s="91"/>
      <c r="I18" s="91"/>
      <c r="J18" s="91"/>
      <c r="K18" s="91"/>
      <c r="L18" s="91"/>
      <c r="M18" s="91"/>
      <c r="N18" s="91"/>
      <c r="O18" s="91"/>
      <c r="P18" s="91"/>
      <c r="Q18" s="91"/>
      <c r="R18" s="92"/>
    </row>
    <row r="19" spans="2:18" x14ac:dyDescent="0.5">
      <c r="B19" s="90"/>
      <c r="C19" s="91"/>
      <c r="D19" s="91"/>
      <c r="E19" s="91"/>
      <c r="F19" s="91"/>
      <c r="G19" s="91"/>
      <c r="H19" s="91"/>
      <c r="I19" s="91"/>
      <c r="J19" s="91"/>
      <c r="K19" s="91"/>
      <c r="L19" s="91"/>
      <c r="M19" s="91"/>
      <c r="N19" s="91"/>
      <c r="O19" s="91"/>
      <c r="P19" s="91"/>
      <c r="Q19" s="91"/>
      <c r="R19" s="92"/>
    </row>
    <row r="20" spans="2:18" x14ac:dyDescent="0.5">
      <c r="B20" s="90"/>
      <c r="C20" s="91"/>
      <c r="D20" s="91"/>
      <c r="E20" s="91"/>
      <c r="F20" s="91"/>
      <c r="G20" s="91"/>
      <c r="H20" s="91"/>
      <c r="I20" s="91"/>
      <c r="J20" s="91"/>
      <c r="K20" s="91"/>
      <c r="L20" s="91"/>
      <c r="M20" s="91"/>
      <c r="N20" s="91"/>
      <c r="O20" s="91"/>
      <c r="P20" s="91"/>
      <c r="Q20" s="91"/>
      <c r="R20" s="92"/>
    </row>
    <row r="21" spans="2:18" x14ac:dyDescent="0.5">
      <c r="B21" s="90"/>
      <c r="C21" s="91"/>
      <c r="D21" s="91"/>
      <c r="E21" s="91"/>
      <c r="F21" s="91"/>
      <c r="G21" s="91"/>
      <c r="H21" s="91"/>
      <c r="I21" s="91"/>
      <c r="J21" s="91"/>
      <c r="K21" s="91"/>
      <c r="L21" s="91"/>
      <c r="M21" s="91"/>
      <c r="N21" s="91"/>
      <c r="O21" s="91"/>
      <c r="P21" s="91"/>
      <c r="Q21" s="91"/>
      <c r="R21" s="92"/>
    </row>
    <row r="22" spans="2:18" x14ac:dyDescent="0.5">
      <c r="B22" s="90"/>
      <c r="C22" s="91"/>
      <c r="D22" s="91"/>
      <c r="E22" s="91"/>
      <c r="F22" s="91"/>
      <c r="G22" s="91"/>
      <c r="H22" s="91"/>
      <c r="I22" s="91"/>
      <c r="J22" s="91"/>
      <c r="K22" s="91"/>
      <c r="L22" s="91"/>
      <c r="M22" s="91"/>
      <c r="N22" s="91"/>
      <c r="O22" s="91"/>
      <c r="P22" s="91"/>
      <c r="Q22" s="91"/>
      <c r="R22" s="92"/>
    </row>
    <row r="23" spans="2:18" x14ac:dyDescent="0.5">
      <c r="B23" s="90"/>
      <c r="C23" s="91"/>
      <c r="D23" s="91"/>
      <c r="E23" s="91"/>
      <c r="F23" s="91"/>
      <c r="G23" s="91"/>
      <c r="H23" s="91"/>
      <c r="I23" s="91"/>
      <c r="J23" s="91"/>
      <c r="K23" s="91"/>
      <c r="L23" s="91"/>
      <c r="M23" s="91"/>
      <c r="N23" s="91"/>
      <c r="O23" s="91"/>
      <c r="P23" s="91"/>
      <c r="Q23" s="91"/>
      <c r="R23" s="92"/>
    </row>
    <row r="24" spans="2:18" x14ac:dyDescent="0.5">
      <c r="B24" s="90"/>
      <c r="C24" s="91"/>
      <c r="D24" s="91"/>
      <c r="E24" s="91"/>
      <c r="F24" s="91"/>
      <c r="G24" s="91"/>
      <c r="H24" s="91"/>
      <c r="I24" s="91"/>
      <c r="J24" s="91"/>
      <c r="K24" s="91"/>
      <c r="L24" s="91"/>
      <c r="M24" s="91"/>
      <c r="N24" s="91"/>
      <c r="O24" s="91"/>
      <c r="P24" s="91"/>
      <c r="Q24" s="91"/>
      <c r="R24" s="92"/>
    </row>
    <row r="25" spans="2:18" x14ac:dyDescent="0.5">
      <c r="B25" s="90"/>
      <c r="C25" s="91"/>
      <c r="D25" s="91"/>
      <c r="E25" s="91"/>
      <c r="F25" s="91"/>
      <c r="G25" s="91"/>
      <c r="H25" s="91"/>
      <c r="I25" s="91"/>
      <c r="J25" s="91"/>
      <c r="K25" s="91"/>
      <c r="L25" s="91"/>
      <c r="M25" s="91"/>
      <c r="N25" s="91"/>
      <c r="O25" s="91"/>
      <c r="P25" s="91"/>
      <c r="Q25" s="91"/>
      <c r="R25" s="92"/>
    </row>
    <row r="26" spans="2:18" x14ac:dyDescent="0.5">
      <c r="B26" s="90"/>
      <c r="C26" s="91"/>
      <c r="D26" s="91"/>
      <c r="E26" s="91"/>
      <c r="F26" s="91"/>
      <c r="G26" s="91"/>
      <c r="H26" s="91"/>
      <c r="I26" s="91"/>
      <c r="J26" s="91"/>
      <c r="K26" s="91"/>
      <c r="L26" s="91"/>
      <c r="M26" s="91"/>
      <c r="N26" s="91"/>
      <c r="O26" s="91"/>
      <c r="P26" s="91"/>
      <c r="Q26" s="91"/>
      <c r="R26" s="92"/>
    </row>
    <row r="27" spans="2:18" x14ac:dyDescent="0.5">
      <c r="B27" s="90"/>
      <c r="C27" s="91"/>
      <c r="D27" s="91"/>
      <c r="E27" s="91"/>
      <c r="F27" s="91"/>
      <c r="G27" s="91"/>
      <c r="H27" s="91"/>
      <c r="I27" s="91"/>
      <c r="J27" s="91"/>
      <c r="K27" s="91"/>
      <c r="L27" s="91"/>
      <c r="M27" s="91"/>
      <c r="N27" s="91"/>
      <c r="O27" s="91"/>
      <c r="P27" s="91"/>
      <c r="Q27" s="91"/>
      <c r="R27" s="92"/>
    </row>
    <row r="28" spans="2:18" x14ac:dyDescent="0.5">
      <c r="B28" s="90"/>
      <c r="C28" s="91"/>
      <c r="D28" s="91"/>
      <c r="E28" s="91"/>
      <c r="F28" s="91"/>
      <c r="G28" s="91"/>
      <c r="H28" s="91"/>
      <c r="I28" s="91"/>
      <c r="J28" s="91"/>
      <c r="K28" s="91"/>
      <c r="L28" s="91"/>
      <c r="M28" s="91"/>
      <c r="N28" s="91"/>
      <c r="O28" s="91"/>
      <c r="P28" s="91"/>
      <c r="Q28" s="91"/>
      <c r="R28" s="92"/>
    </row>
    <row r="29" spans="2:18" x14ac:dyDescent="0.5">
      <c r="B29" s="90"/>
      <c r="C29" s="91"/>
      <c r="D29" s="91"/>
      <c r="E29" s="91"/>
      <c r="F29" s="91"/>
      <c r="G29" s="91"/>
      <c r="H29" s="91"/>
      <c r="I29" s="91"/>
      <c r="J29" s="91"/>
      <c r="K29" s="91"/>
      <c r="L29" s="91"/>
      <c r="M29" s="91"/>
      <c r="N29" s="91"/>
      <c r="O29" s="91"/>
      <c r="P29" s="91"/>
      <c r="Q29" s="91"/>
      <c r="R29" s="92"/>
    </row>
    <row r="30" spans="2:18" x14ac:dyDescent="0.5">
      <c r="B30" s="90"/>
      <c r="C30" s="91"/>
      <c r="D30" s="91"/>
      <c r="E30" s="91"/>
      <c r="F30" s="91"/>
      <c r="G30" s="91"/>
      <c r="H30" s="91"/>
      <c r="I30" s="91"/>
      <c r="J30" s="91"/>
      <c r="K30" s="91"/>
      <c r="L30" s="91"/>
      <c r="M30" s="91"/>
      <c r="N30" s="91"/>
      <c r="O30" s="91"/>
      <c r="P30" s="91"/>
      <c r="Q30" s="91"/>
      <c r="R30" s="92"/>
    </row>
    <row r="31" spans="2:18" x14ac:dyDescent="0.5">
      <c r="B31" s="90"/>
      <c r="C31" s="91"/>
      <c r="D31" s="91"/>
      <c r="E31" s="91"/>
      <c r="F31" s="91"/>
      <c r="G31" s="91"/>
      <c r="H31" s="91"/>
      <c r="I31" s="91"/>
      <c r="J31" s="91"/>
      <c r="K31" s="91"/>
      <c r="L31" s="91"/>
      <c r="M31" s="91"/>
      <c r="N31" s="91"/>
      <c r="O31" s="91"/>
      <c r="P31" s="91"/>
      <c r="Q31" s="91"/>
      <c r="R31" s="92"/>
    </row>
    <row r="32" spans="2:18" x14ac:dyDescent="0.5">
      <c r="B32" s="90"/>
      <c r="C32" s="91"/>
      <c r="D32" s="91"/>
      <c r="E32" s="91"/>
      <c r="F32" s="91"/>
      <c r="G32" s="91"/>
      <c r="H32" s="91"/>
      <c r="I32" s="91"/>
      <c r="J32" s="91"/>
      <c r="K32" s="91"/>
      <c r="L32" s="91"/>
      <c r="M32" s="91"/>
      <c r="N32" s="91"/>
      <c r="O32" s="91"/>
      <c r="P32" s="91"/>
      <c r="Q32" s="91"/>
      <c r="R32" s="92"/>
    </row>
    <row r="33" spans="2:18" x14ac:dyDescent="0.5">
      <c r="B33" s="90"/>
      <c r="C33" s="91"/>
      <c r="D33" s="91"/>
      <c r="E33" s="91"/>
      <c r="F33" s="91"/>
      <c r="G33" s="91"/>
      <c r="H33" s="91"/>
      <c r="I33" s="91"/>
      <c r="J33" s="91"/>
      <c r="K33" s="91"/>
      <c r="L33" s="91"/>
      <c r="M33" s="91"/>
      <c r="N33" s="91"/>
      <c r="O33" s="91"/>
      <c r="P33" s="91"/>
      <c r="Q33" s="91"/>
      <c r="R33" s="92"/>
    </row>
    <row r="34" spans="2:18" x14ac:dyDescent="0.5">
      <c r="B34" s="90"/>
      <c r="C34" s="91"/>
      <c r="D34" s="91"/>
      <c r="E34" s="91"/>
      <c r="F34" s="91"/>
      <c r="G34" s="91"/>
      <c r="H34" s="91"/>
      <c r="I34" s="91"/>
      <c r="J34" s="91"/>
      <c r="K34" s="91"/>
      <c r="L34" s="91"/>
      <c r="M34" s="91"/>
      <c r="N34" s="91"/>
      <c r="O34" s="91"/>
      <c r="P34" s="91"/>
      <c r="Q34" s="91"/>
      <c r="R34" s="92"/>
    </row>
    <row r="35" spans="2:18" x14ac:dyDescent="0.5">
      <c r="B35" s="90"/>
      <c r="C35" s="91"/>
      <c r="D35" s="91"/>
      <c r="E35" s="91"/>
      <c r="F35" s="91"/>
      <c r="G35" s="91"/>
      <c r="H35" s="91"/>
      <c r="I35" s="91"/>
      <c r="J35" s="91"/>
      <c r="K35" s="91"/>
      <c r="L35" s="91"/>
      <c r="M35" s="91"/>
      <c r="N35" s="91"/>
      <c r="O35" s="91"/>
      <c r="P35" s="91"/>
      <c r="Q35" s="91"/>
      <c r="R35" s="92"/>
    </row>
    <row r="36" spans="2:18" x14ac:dyDescent="0.5">
      <c r="B36" s="90"/>
      <c r="C36" s="91"/>
      <c r="D36" s="91"/>
      <c r="E36" s="91"/>
      <c r="F36" s="91"/>
      <c r="G36" s="91"/>
      <c r="H36" s="91"/>
      <c r="I36" s="91"/>
      <c r="J36" s="91"/>
      <c r="K36" s="91"/>
      <c r="L36" s="91"/>
      <c r="M36" s="91"/>
      <c r="N36" s="91"/>
      <c r="O36" s="91"/>
      <c r="P36" s="91"/>
      <c r="Q36" s="91"/>
      <c r="R36" s="92"/>
    </row>
    <row r="37" spans="2:18" x14ac:dyDescent="0.5">
      <c r="B37" s="90"/>
      <c r="C37" s="91"/>
      <c r="D37" s="91"/>
      <c r="E37" s="91"/>
      <c r="F37" s="91"/>
      <c r="G37" s="91"/>
      <c r="H37" s="91"/>
      <c r="I37" s="91"/>
      <c r="J37" s="91"/>
      <c r="K37" s="91"/>
      <c r="L37" s="91"/>
      <c r="M37" s="91"/>
      <c r="N37" s="91"/>
      <c r="O37" s="91"/>
      <c r="P37" s="91"/>
      <c r="Q37" s="91"/>
      <c r="R37" s="92"/>
    </row>
    <row r="38" spans="2:18" x14ac:dyDescent="0.5">
      <c r="B38" s="90"/>
      <c r="C38" s="91"/>
      <c r="D38" s="91"/>
      <c r="E38" s="91"/>
      <c r="F38" s="91"/>
      <c r="G38" s="91"/>
      <c r="H38" s="91"/>
      <c r="I38" s="91"/>
      <c r="J38" s="91"/>
      <c r="K38" s="91"/>
      <c r="L38" s="91"/>
      <c r="M38" s="91"/>
      <c r="N38" s="91"/>
      <c r="O38" s="91"/>
      <c r="P38" s="91"/>
      <c r="Q38" s="91"/>
      <c r="R38" s="92"/>
    </row>
    <row r="39" spans="2:18" x14ac:dyDescent="0.5">
      <c r="B39" s="90"/>
      <c r="C39" s="91"/>
      <c r="D39" s="91"/>
      <c r="E39" s="91"/>
      <c r="F39" s="91"/>
      <c r="G39" s="91"/>
      <c r="H39" s="91"/>
      <c r="I39" s="91"/>
      <c r="J39" s="91"/>
      <c r="K39" s="91"/>
      <c r="L39" s="91"/>
      <c r="M39" s="91"/>
      <c r="N39" s="91"/>
      <c r="O39" s="91"/>
      <c r="P39" s="91"/>
      <c r="Q39" s="91"/>
      <c r="R39" s="92"/>
    </row>
    <row r="40" spans="2:18" x14ac:dyDescent="0.5">
      <c r="B40" s="90"/>
      <c r="C40" s="91"/>
      <c r="D40" s="91"/>
      <c r="E40" s="91"/>
      <c r="F40" s="91"/>
      <c r="G40" s="91"/>
      <c r="H40" s="91"/>
      <c r="I40" s="91"/>
      <c r="J40" s="91"/>
      <c r="K40" s="91"/>
      <c r="L40" s="91"/>
      <c r="M40" s="91"/>
      <c r="N40" s="91"/>
      <c r="O40" s="91"/>
      <c r="P40" s="91"/>
      <c r="Q40" s="91"/>
      <c r="R40" s="92"/>
    </row>
    <row r="41" spans="2:18" ht="16.149999999999999" thickBot="1" x14ac:dyDescent="0.55000000000000004">
      <c r="B41" s="93"/>
      <c r="C41" s="94"/>
      <c r="D41" s="94"/>
      <c r="E41" s="94"/>
      <c r="F41" s="94"/>
      <c r="G41" s="94"/>
      <c r="H41" s="94"/>
      <c r="I41" s="94"/>
      <c r="J41" s="94"/>
      <c r="K41" s="94"/>
      <c r="L41" s="94"/>
      <c r="M41" s="94"/>
      <c r="N41" s="94"/>
      <c r="O41" s="94"/>
      <c r="P41" s="94"/>
      <c r="Q41" s="94"/>
      <c r="R41" s="95"/>
    </row>
  </sheetData>
  <mergeCells count="1">
    <mergeCell ref="B2:R4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140"/>
  <sheetViews>
    <sheetView showGridLines="0" tabSelected="1" zoomScaleNormal="100" workbookViewId="0">
      <selection activeCell="B66" sqref="B66:F66"/>
    </sheetView>
  </sheetViews>
  <sheetFormatPr defaultColWidth="10.19921875" defaultRowHeight="14.25" x14ac:dyDescent="0.45"/>
  <cols>
    <col min="1" max="1" width="49.6640625" style="2" bestFit="1" customWidth="1"/>
    <col min="2" max="2" width="18.86328125" style="2" bestFit="1" customWidth="1"/>
    <col min="3" max="3" width="16" style="2" bestFit="1" customWidth="1"/>
    <col min="4" max="4" width="9.6640625" style="2" bestFit="1" customWidth="1"/>
    <col min="5" max="5" width="6.1328125" style="2" bestFit="1" customWidth="1"/>
    <col min="6" max="6" width="19.06640625" style="2" bestFit="1" customWidth="1"/>
    <col min="7" max="7" width="6.1328125" style="2" bestFit="1" customWidth="1"/>
    <col min="8" max="26" width="10.19921875" style="2"/>
    <col min="27" max="27" width="41.9296875" style="2" bestFit="1" customWidth="1"/>
    <col min="28" max="33" width="10.86328125" style="2" bestFit="1" customWidth="1"/>
    <col min="34" max="34" width="6.3984375" style="2" bestFit="1" customWidth="1"/>
    <col min="35" max="40" width="10.19921875" style="2"/>
    <col min="41" max="41" width="26.265625" style="2" bestFit="1" customWidth="1"/>
    <col min="42" max="47" width="7.3984375" style="2" bestFit="1" customWidth="1"/>
    <col min="48" max="48" width="6.3984375" style="2" bestFit="1" customWidth="1"/>
    <col min="49" max="52" width="10.19921875" style="2"/>
    <col min="53" max="53" width="49.6640625" style="2" bestFit="1" customWidth="1"/>
    <col min="54" max="54" width="41.6640625" style="2" bestFit="1" customWidth="1"/>
    <col min="55" max="55" width="15.33203125" style="2" bestFit="1" customWidth="1"/>
    <col min="56" max="56" width="7.73046875" style="2" bestFit="1" customWidth="1"/>
    <col min="57" max="57" width="4.9296875" style="2" bestFit="1" customWidth="1"/>
    <col min="58" max="58" width="18.19921875" style="2" bestFit="1" customWidth="1"/>
    <col min="59" max="59" width="4.9296875" style="2" bestFit="1" customWidth="1"/>
    <col min="60" max="16384" width="10.19921875" style="2"/>
  </cols>
  <sheetData>
    <row r="1" spans="1:59" x14ac:dyDescent="0.45">
      <c r="A1" s="82" t="s">
        <v>39</v>
      </c>
      <c r="B1" s="82"/>
      <c r="C1" s="82"/>
      <c r="D1" s="82"/>
      <c r="E1" s="82"/>
      <c r="F1" s="82"/>
      <c r="G1" s="82"/>
      <c r="AA1" s="85" t="s">
        <v>76</v>
      </c>
      <c r="AB1" s="85"/>
      <c r="AC1" s="85"/>
      <c r="AD1" s="85"/>
      <c r="AE1" s="85"/>
      <c r="AF1" s="85"/>
      <c r="AG1" s="85"/>
      <c r="AH1" s="85"/>
      <c r="BA1" s="2" t="s">
        <v>39</v>
      </c>
    </row>
    <row r="3" spans="1:59" ht="14.65" thickBot="1" x14ac:dyDescent="0.5">
      <c r="A3" s="2" t="s">
        <v>40</v>
      </c>
      <c r="B3" s="83" t="s">
        <v>43</v>
      </c>
      <c r="C3" s="83"/>
      <c r="D3" s="83"/>
      <c r="E3" s="83"/>
      <c r="F3" s="83"/>
      <c r="G3" s="83"/>
      <c r="AO3" s="86" t="s">
        <v>108</v>
      </c>
      <c r="AP3" s="86"/>
      <c r="AQ3" s="86"/>
      <c r="AR3" s="86"/>
      <c r="AS3" s="86"/>
      <c r="AT3" s="86"/>
      <c r="AU3" s="86"/>
      <c r="AV3" s="86"/>
      <c r="BA3" s="2" t="s">
        <v>40</v>
      </c>
      <c r="BB3" s="2" t="s">
        <v>43</v>
      </c>
    </row>
    <row r="4" spans="1:59" ht="14.65" thickBot="1" x14ac:dyDescent="0.5">
      <c r="AA4" s="86" t="s">
        <v>15</v>
      </c>
      <c r="AB4" s="86"/>
      <c r="AC4" s="86"/>
      <c r="AD4" s="86"/>
      <c r="AE4" s="86"/>
      <c r="AF4" s="86"/>
      <c r="AG4" s="86"/>
      <c r="AH4" s="86"/>
      <c r="AO4" s="2" t="s">
        <v>77</v>
      </c>
      <c r="AP4" s="3">
        <v>0</v>
      </c>
      <c r="AQ4" s="3">
        <f>AP4+1</f>
        <v>1</v>
      </c>
      <c r="AR4" s="3">
        <f t="shared" ref="AR4:AV4" si="0">AQ4+1</f>
        <v>2</v>
      </c>
      <c r="AS4" s="3">
        <f t="shared" si="0"/>
        <v>3</v>
      </c>
      <c r="AT4" s="3">
        <f t="shared" si="0"/>
        <v>4</v>
      </c>
      <c r="AU4" s="3">
        <f t="shared" si="0"/>
        <v>5</v>
      </c>
      <c r="AV4" s="3">
        <f t="shared" si="0"/>
        <v>6</v>
      </c>
    </row>
    <row r="5" spans="1:59" ht="14.65" thickBot="1" x14ac:dyDescent="0.5">
      <c r="B5" s="3">
        <v>0</v>
      </c>
      <c r="C5" s="3">
        <f>B5+1</f>
        <v>1</v>
      </c>
      <c r="D5" s="3">
        <f>C5+1</f>
        <v>2</v>
      </c>
      <c r="E5" s="3">
        <f>D5+1</f>
        <v>3</v>
      </c>
      <c r="F5" s="3">
        <f>E5+1</f>
        <v>4</v>
      </c>
      <c r="G5" s="3">
        <f>F5+1</f>
        <v>5</v>
      </c>
      <c r="I5" s="4"/>
      <c r="AA5" s="2" t="s">
        <v>77</v>
      </c>
      <c r="AB5" s="3">
        <v>0</v>
      </c>
      <c r="AC5" s="3">
        <f>AB5+1</f>
        <v>1</v>
      </c>
      <c r="AD5" s="3">
        <f t="shared" ref="AD5:AH5" si="1">AC5+1</f>
        <v>2</v>
      </c>
      <c r="AE5" s="3">
        <f t="shared" si="1"/>
        <v>3</v>
      </c>
      <c r="AF5" s="3">
        <f t="shared" si="1"/>
        <v>4</v>
      </c>
      <c r="AG5" s="3">
        <f t="shared" si="1"/>
        <v>5</v>
      </c>
      <c r="AH5" s="3">
        <f t="shared" si="1"/>
        <v>6</v>
      </c>
      <c r="AO5" s="5"/>
      <c r="AP5" s="6"/>
      <c r="AQ5" s="5"/>
      <c r="AR5" s="5"/>
      <c r="AS5" s="5"/>
      <c r="AT5" s="5"/>
      <c r="AU5" s="5"/>
      <c r="AV5" s="5"/>
      <c r="BB5" s="2">
        <v>0</v>
      </c>
      <c r="BC5" s="2">
        <f>BB5+1</f>
        <v>1</v>
      </c>
      <c r="BD5" s="2">
        <f>BC5+1</f>
        <v>2</v>
      </c>
      <c r="BE5" s="2">
        <f>BD5+1</f>
        <v>3</v>
      </c>
      <c r="BF5" s="2">
        <f>BE5+1</f>
        <v>4</v>
      </c>
      <c r="BG5" s="2">
        <f>BF5+1</f>
        <v>5</v>
      </c>
    </row>
    <row r="6" spans="1:59" ht="14.65" thickBot="1" x14ac:dyDescent="0.5">
      <c r="I6" s="7"/>
      <c r="AA6" s="5"/>
      <c r="AB6" s="6"/>
      <c r="AC6" s="5"/>
      <c r="AD6" s="5"/>
      <c r="AE6" s="5"/>
      <c r="AF6" s="5"/>
      <c r="AG6" s="5"/>
    </row>
    <row r="7" spans="1:59" x14ac:dyDescent="0.45">
      <c r="A7" s="84" t="s">
        <v>41</v>
      </c>
      <c r="B7" s="84"/>
      <c r="C7" s="84"/>
      <c r="D7" s="84"/>
      <c r="E7" s="84"/>
      <c r="F7" s="84"/>
      <c r="G7" s="84"/>
      <c r="I7" s="7"/>
      <c r="AA7" s="8" t="s">
        <v>0</v>
      </c>
      <c r="AB7" s="9">
        <f>IF(AB$5=0,$B$10,AA7*(1+B50))</f>
        <v>5180645</v>
      </c>
      <c r="AC7" s="9">
        <f>IF(AC$5=0,$B$10,AB7*(1+C50))</f>
        <v>5698709.5</v>
      </c>
      <c r="AD7" s="9">
        <f t="shared" ref="AD7:AG7" si="2">IF(AD$5=0,$B$10,AC7*(1+D50))</f>
        <v>6211593.3550000004</v>
      </c>
      <c r="AE7" s="9">
        <f t="shared" si="2"/>
        <v>6770636.7569500012</v>
      </c>
      <c r="AF7" s="9">
        <f t="shared" si="2"/>
        <v>7312287.6975060022</v>
      </c>
      <c r="AG7" s="9">
        <f t="shared" si="2"/>
        <v>7897270.7133064829</v>
      </c>
      <c r="AO7" s="2" t="s">
        <v>103</v>
      </c>
      <c r="AP7" s="10">
        <f ca="1">IF($B$130="Dividend per Share",AB89,AB118)</f>
        <v>10.624925024397392</v>
      </c>
      <c r="AQ7" s="10">
        <f t="shared" ref="AQ7:AU7" ca="1" si="3">IF($B$130="Dividend per Share",AC89,AC118)</f>
        <v>11.167723994153809</v>
      </c>
      <c r="AR7" s="10">
        <f t="shared" ca="1" si="3"/>
        <v>11.724930740213946</v>
      </c>
      <c r="AS7" s="10">
        <f t="shared" ca="1" si="3"/>
        <v>12.243074957268615</v>
      </c>
      <c r="AT7" s="10">
        <f t="shared" ca="1" si="3"/>
        <v>12.767766852008419</v>
      </c>
      <c r="AU7" s="10">
        <f t="shared" ca="1" si="3"/>
        <v>13.291889697286168</v>
      </c>
      <c r="BA7" s="2" t="s">
        <v>41</v>
      </c>
    </row>
    <row r="8" spans="1:59" ht="14.65" thickBot="1" x14ac:dyDescent="0.5">
      <c r="AA8" s="11" t="s">
        <v>1</v>
      </c>
      <c r="AB8" s="12">
        <f t="shared" ref="AB8:AB21" si="4">B11</f>
        <v>2125</v>
      </c>
      <c r="AC8" s="12">
        <f>AB27*AB50</f>
        <v>2597.2156</v>
      </c>
      <c r="AD8" s="12">
        <f t="shared" ref="AD8:AG8" si="5">AC27*AC50</f>
        <v>2792.3676550000005</v>
      </c>
      <c r="AE8" s="12">
        <f t="shared" si="5"/>
        <v>3043.6807439500003</v>
      </c>
      <c r="AF8" s="12">
        <f t="shared" si="5"/>
        <v>3317.6120109055009</v>
      </c>
      <c r="AG8" s="12">
        <f t="shared" si="5"/>
        <v>3583.0209717779408</v>
      </c>
      <c r="AO8" s="2" t="s">
        <v>109</v>
      </c>
      <c r="AP8" s="10">
        <f>IF($B$130="Dividend per Share",(AB43/AB91),(AB43/AB120))</f>
        <v>4.6041603510171516</v>
      </c>
      <c r="AQ8" s="10">
        <f t="shared" ref="AQ8:AU8" ca="1" si="6">IF($B$130="Dividend per Share",(AC43/AC91),(AC43/AC120))</f>
        <v>5.000676134295122</v>
      </c>
      <c r="AR8" s="10">
        <f t="shared" ca="1" si="6"/>
        <v>5.1437873004488388</v>
      </c>
      <c r="AS8" s="10">
        <f t="shared" ca="1" si="6"/>
        <v>5.5748024404632561</v>
      </c>
      <c r="AT8" s="10">
        <f t="shared" ca="1" si="6"/>
        <v>6.0103610320392162</v>
      </c>
      <c r="AU8" s="10">
        <f t="shared" ca="1" si="6"/>
        <v>6.4810466917302767</v>
      </c>
    </row>
    <row r="9" spans="1:59" x14ac:dyDescent="0.45">
      <c r="A9" s="84" t="s">
        <v>42</v>
      </c>
      <c r="B9" s="84"/>
      <c r="C9" s="84"/>
      <c r="D9" s="84"/>
      <c r="E9" s="84"/>
      <c r="F9" s="84"/>
      <c r="G9" s="84"/>
      <c r="AA9" s="13" t="s">
        <v>2</v>
      </c>
      <c r="AB9" s="9">
        <f>SUM(AB7:AB8)</f>
        <v>5182770</v>
      </c>
      <c r="AC9" s="9">
        <f t="shared" ref="AC9:AG9" si="7">SUM(AC7:AC8)</f>
        <v>5701306.7155999998</v>
      </c>
      <c r="AD9" s="9">
        <f t="shared" si="7"/>
        <v>6214385.7226550002</v>
      </c>
      <c r="AE9" s="9">
        <f t="shared" si="7"/>
        <v>6773680.4376939517</v>
      </c>
      <c r="AF9" s="9">
        <f t="shared" si="7"/>
        <v>7315605.3095169077</v>
      </c>
      <c r="AG9" s="9">
        <f t="shared" si="7"/>
        <v>7900853.7342782607</v>
      </c>
      <c r="BA9" s="2" t="s">
        <v>42</v>
      </c>
    </row>
    <row r="10" spans="1:59" x14ac:dyDescent="0.45">
      <c r="A10" s="8" t="s">
        <v>0</v>
      </c>
      <c r="B10" s="14">
        <v>5180645</v>
      </c>
      <c r="C10" s="15" t="b">
        <f>AND(ISNUMBER(B10), B10&gt;0)</f>
        <v>1</v>
      </c>
      <c r="D10" s="15"/>
      <c r="E10" s="15"/>
      <c r="F10" s="15"/>
      <c r="G10" s="15"/>
      <c r="AA10" s="16" t="s">
        <v>3</v>
      </c>
      <c r="AB10" s="9">
        <f>B13</f>
        <v>4195321</v>
      </c>
      <c r="AC10" s="17">
        <f>IF($B$136="No",(AC7*$B$54),(AC7*VLOOKUP(AC7,$B$60:$C$64,2,TRUE)))</f>
        <v>4558967.6000000006</v>
      </c>
      <c r="AD10" s="17">
        <f>IF($B$136="No",(AD7*$B$54),(AD7*VLOOKUP(AD7,$B$60:$C$64,2,TRUE)))</f>
        <v>4969274.6840000004</v>
      </c>
      <c r="AE10" s="17">
        <f>IF($B$136="No",(AE7*$B$54),(AE7*VLOOKUP(AE7,$B$60:$C$64,2,TRUE)))</f>
        <v>5416509.4055600017</v>
      </c>
      <c r="AF10" s="17">
        <f>IF($B$136="No",(AF7*$B$54),(AF7*VLOOKUP(AF7,$B$60:$C$64,2,TRUE)))</f>
        <v>5849830.1580048017</v>
      </c>
      <c r="AG10" s="17">
        <f>IF($B$136="No",(AG7*$B$54),(AG7*VLOOKUP(AG7,$B$60:$C$64,2,TRUE)))</f>
        <v>6317816.5706451871</v>
      </c>
      <c r="AI10" s="10"/>
      <c r="AO10" s="2" t="s">
        <v>110</v>
      </c>
      <c r="AP10" s="10">
        <f>IF($B$130="Dividend per Share",(AB19/AB91),(AB19/AB120))</f>
        <v>0.61083167132030314</v>
      </c>
      <c r="AQ10" s="10">
        <f t="shared" ref="AQ10:AU10" ca="1" si="8">IF($B$130="Dividend per Share",(AC19/AC91),(AC19/AC120))</f>
        <v>0.74867081971624438</v>
      </c>
      <c r="AR10" s="10">
        <f t="shared" ca="1" si="8"/>
        <v>0.85025850776780543</v>
      </c>
      <c r="AS10" s="10">
        <f t="shared" ca="1" si="8"/>
        <v>0.97647630288625609</v>
      </c>
      <c r="AT10" s="10">
        <f t="shared" ca="1" si="8"/>
        <v>1.0577581075606086</v>
      </c>
      <c r="AU10" s="10">
        <f t="shared" ca="1" si="8"/>
        <v>1.1482686064717376</v>
      </c>
      <c r="BA10" s="2" t="s">
        <v>0</v>
      </c>
      <c r="BB10" s="2">
        <v>5180645</v>
      </c>
      <c r="BC10" s="2" t="b">
        <f>AND(ISNUMBER(BB10), BB10&gt;0)</f>
        <v>1</v>
      </c>
    </row>
    <row r="11" spans="1:59" x14ac:dyDescent="0.45">
      <c r="A11" s="8" t="s">
        <v>1</v>
      </c>
      <c r="B11" s="14">
        <v>2125</v>
      </c>
      <c r="C11" s="15" t="b">
        <f>AND(ISNUMBER(B11), B11&gt;0)</f>
        <v>1</v>
      </c>
      <c r="D11" s="9"/>
      <c r="E11" s="9"/>
      <c r="F11" s="9"/>
      <c r="G11" s="9"/>
      <c r="AA11" s="16" t="s">
        <v>4</v>
      </c>
      <c r="AB11" s="9">
        <f t="shared" ref="AB11:AG11" si="9">IF(AB$5=0,$B$14,AA33*$B$83)</f>
        <v>332876</v>
      </c>
      <c r="AC11" s="9">
        <f t="shared" si="9"/>
        <v>372090</v>
      </c>
      <c r="AD11" s="9">
        <f t="shared" si="9"/>
        <v>410307.08399999997</v>
      </c>
      <c r="AE11" s="9">
        <f t="shared" si="9"/>
        <v>409965.16143000009</v>
      </c>
      <c r="AF11" s="9">
        <f t="shared" si="9"/>
        <v>446862.02595870011</v>
      </c>
      <c r="AG11" s="9">
        <f t="shared" si="9"/>
        <v>482610.98803539615</v>
      </c>
      <c r="AK11" s="19"/>
      <c r="AO11" s="2" t="s">
        <v>74</v>
      </c>
      <c r="AP11" s="10"/>
      <c r="AQ11" s="10">
        <f ca="1">IF($B$130="Dividend per Share",AC85,(AC20/AB120))</f>
        <v>0.4559439825369378</v>
      </c>
      <c r="AR11" s="10">
        <f t="shared" ref="AR11:AU11" ca="1" si="10">IF($B$130="Dividend per Share",AD85,(AD20/AC120))</f>
        <v>0.49563509149805463</v>
      </c>
      <c r="AS11" s="10">
        <f t="shared" ca="1" si="10"/>
        <v>0.58924102595374583</v>
      </c>
      <c r="AT11" s="10">
        <f t="shared" ca="1" si="10"/>
        <v>0.63575574018160075</v>
      </c>
      <c r="AU11" s="10">
        <f t="shared" ca="1" si="10"/>
        <v>0.69003942901024629</v>
      </c>
      <c r="AV11" s="10">
        <f ca="1">IF($B$130="Dividend per Share",AH85,AH114)</f>
        <v>0.7185897036816139</v>
      </c>
      <c r="BA11" s="2" t="s">
        <v>1</v>
      </c>
      <c r="BB11" s="2">
        <v>2125</v>
      </c>
      <c r="BC11" s="2" t="b">
        <f>AND(ISNUMBER(BB11), BB11&gt;0)</f>
        <v>1</v>
      </c>
    </row>
    <row r="12" spans="1:59" x14ac:dyDescent="0.45">
      <c r="A12" s="13" t="s">
        <v>2</v>
      </c>
      <c r="B12" s="15">
        <f>SUM(B10:B11)</f>
        <v>5182770</v>
      </c>
      <c r="C12" s="15"/>
      <c r="D12" s="15"/>
      <c r="E12" s="15"/>
      <c r="F12" s="15"/>
      <c r="G12" s="15"/>
      <c r="AA12" s="16" t="s">
        <v>5</v>
      </c>
      <c r="AB12" s="9">
        <f t="shared" si="4"/>
        <v>2012</v>
      </c>
      <c r="AC12" s="9">
        <f>AC58*$B$113</f>
        <v>3425.3968623596056</v>
      </c>
      <c r="AD12" s="9">
        <f>AD58*$B$113</f>
        <v>887.95785134900359</v>
      </c>
      <c r="AE12" s="9">
        <f>AE58*$B$113</f>
        <v>3363.6019242337766</v>
      </c>
      <c r="AF12" s="9">
        <f>AF58*$B$113</f>
        <v>3258.9565310353923</v>
      </c>
      <c r="AG12" s="9">
        <f>AG58*$B$113</f>
        <v>3519.6730535182287</v>
      </c>
      <c r="AK12" s="19"/>
      <c r="BA12" s="2" t="s">
        <v>2</v>
      </c>
      <c r="BB12" s="2">
        <f>SUM(BB10:BB11)</f>
        <v>5182770</v>
      </c>
    </row>
    <row r="13" spans="1:59" x14ac:dyDescent="0.45">
      <c r="A13" s="16" t="s">
        <v>3</v>
      </c>
      <c r="B13" s="14">
        <v>4195321</v>
      </c>
      <c r="C13" s="15" t="b">
        <f>AND(ISNUMBER(B13), B13&gt;=0)</f>
        <v>1</v>
      </c>
      <c r="D13" s="9"/>
      <c r="E13" s="9"/>
      <c r="F13" s="9"/>
      <c r="G13" s="9"/>
      <c r="AA13" s="16" t="s">
        <v>6</v>
      </c>
      <c r="AB13" s="9">
        <f t="shared" si="4"/>
        <v>15755</v>
      </c>
      <c r="AC13" s="9">
        <f ca="1">IF(AC64&gt;0,AC64*$B$114,0)</f>
        <v>6722.8399486932531</v>
      </c>
      <c r="AD13" s="21">
        <f ca="1">IF(AD64&gt;0,AD64*$B$114,0)</f>
        <v>0</v>
      </c>
      <c r="AE13" s="9">
        <f ca="1">IF(AE64&gt;0,AE64*$B$114,0)</f>
        <v>2773.352965149395</v>
      </c>
      <c r="AF13" s="9">
        <f ca="1">IF(AF64&gt;0,AF64*$B$114,0)</f>
        <v>881.04698943452911</v>
      </c>
      <c r="AG13" s="9">
        <f ca="1">IF(AG64&gt;0,AG64*$B$114,0)</f>
        <v>828.99841579981148</v>
      </c>
      <c r="AK13" s="19"/>
      <c r="AO13" s="2" t="s">
        <v>94</v>
      </c>
      <c r="AP13" s="22">
        <f ca="1">IF($B$130="Dividend per Share",AB74,AB103)</f>
        <v>1.2593802801282747</v>
      </c>
      <c r="AQ13" s="22">
        <f t="shared" ref="AQ13:AU13" ca="1" si="11">IF($B$130="Dividend per Share",AC74,AC103)</f>
        <v>1.2593802801282747</v>
      </c>
      <c r="AR13" s="22">
        <f t="shared" ca="1" si="11"/>
        <v>1.2593802801282747</v>
      </c>
      <c r="AS13" s="22">
        <f t="shared" ca="1" si="11"/>
        <v>1.2593802801282747</v>
      </c>
      <c r="AT13" s="22">
        <f t="shared" ca="1" si="11"/>
        <v>1.2593802801282747</v>
      </c>
      <c r="AU13" s="22">
        <f t="shared" ca="1" si="11"/>
        <v>1.2593802801282747</v>
      </c>
      <c r="BA13" s="2" t="s">
        <v>3</v>
      </c>
      <c r="BB13" s="2">
        <v>4195321</v>
      </c>
      <c r="BC13" s="2" t="b">
        <f>AND(ISNUMBER(BB13), BB13&gt;=0)</f>
        <v>1</v>
      </c>
    </row>
    <row r="14" spans="1:59" ht="14.65" thickBot="1" x14ac:dyDescent="0.5">
      <c r="A14" s="16" t="s">
        <v>4</v>
      </c>
      <c r="B14" s="14">
        <v>332876</v>
      </c>
      <c r="C14" s="15" t="b">
        <f>AND(ISNUMBER(B14), B14&gt;=0)</f>
        <v>1</v>
      </c>
      <c r="D14" s="9"/>
      <c r="E14" s="9"/>
      <c r="F14" s="9"/>
      <c r="G14" s="9"/>
      <c r="AA14" s="11" t="s">
        <v>7</v>
      </c>
      <c r="AB14" s="23">
        <f t="shared" si="4"/>
        <v>0</v>
      </c>
      <c r="AC14" s="23">
        <f ca="1">IF(AC64&lt;0,-AC64*$B$115,0)</f>
        <v>0</v>
      </c>
      <c r="AD14" s="23">
        <f ca="1">IF(AD64&lt;0,-AD64*$B$115,0)</f>
        <v>3396.7119282898075</v>
      </c>
      <c r="AE14" s="23">
        <f ca="1">IF(AE64&lt;0,-AE64*$B$115,0)</f>
        <v>0</v>
      </c>
      <c r="AF14" s="23">
        <f ca="1">IF(AF64&lt;0,-AF64*$B$115,0)</f>
        <v>0</v>
      </c>
      <c r="AG14" s="23">
        <f ca="1">IF(AG64&lt;0,-AG64*$B$115,0)</f>
        <v>0</v>
      </c>
      <c r="AO14" s="2" t="s">
        <v>93</v>
      </c>
      <c r="AP14" s="24">
        <f ca="1">IF($B$130="Dividend per Share",AB73,AB102)</f>
        <v>0.25567406302269258</v>
      </c>
      <c r="AQ14" s="24">
        <f t="shared" ref="AQ14:AU14" ca="1" si="12">IF($B$130="Dividend per Share",AC73,AC102)</f>
        <v>0.26411662475527548</v>
      </c>
      <c r="AR14" s="24">
        <f t="shared" ca="1" si="12"/>
        <v>0.26846383426261777</v>
      </c>
      <c r="AS14" s="24">
        <f t="shared" ca="1" si="12"/>
        <v>0.27864550768244201</v>
      </c>
      <c r="AT14" s="24">
        <f t="shared" ca="1" si="12"/>
        <v>0.28807043554346101</v>
      </c>
      <c r="AU14" s="24">
        <f t="shared" ca="1" si="12"/>
        <v>0.29838122619650376</v>
      </c>
      <c r="BA14" s="2" t="s">
        <v>4</v>
      </c>
      <c r="BB14" s="2">
        <v>332876</v>
      </c>
      <c r="BC14" s="2" t="b">
        <f>AND(ISNUMBER(BB14), BB14&gt;=0)</f>
        <v>1</v>
      </c>
    </row>
    <row r="15" spans="1:59" x14ac:dyDescent="0.45">
      <c r="A15" s="16" t="s">
        <v>5</v>
      </c>
      <c r="B15" s="14">
        <v>2012</v>
      </c>
      <c r="C15" s="15" t="b">
        <f>AND(ISNUMBER(B15), B15&gt;=0)</f>
        <v>1</v>
      </c>
      <c r="D15" s="9"/>
      <c r="E15" s="9"/>
      <c r="F15" s="9"/>
      <c r="G15" s="9"/>
      <c r="AA15" s="13" t="s">
        <v>8</v>
      </c>
      <c r="AB15" s="9">
        <f>AB9-SUM(AB10:AB14)</f>
        <v>636806</v>
      </c>
      <c r="AC15" s="9">
        <f t="shared" ref="AC15:AG15" ca="1" si="13">AC9-SUM(AC10:AC14)</f>
        <v>760100.8787889462</v>
      </c>
      <c r="AD15" s="9">
        <f t="shared" ca="1" si="13"/>
        <v>830519.28487536125</v>
      </c>
      <c r="AE15" s="9">
        <f t="shared" ca="1" si="13"/>
        <v>941068.91581456643</v>
      </c>
      <c r="AF15" s="9">
        <f t="shared" ca="1" si="13"/>
        <v>1014773.1220329357</v>
      </c>
      <c r="AG15" s="9">
        <f t="shared" ca="1" si="13"/>
        <v>1096077.5041283602</v>
      </c>
      <c r="AO15" s="2" t="s">
        <v>111</v>
      </c>
      <c r="AP15" s="22">
        <f>IF($B$130="Dividend per Share",AB77,AB106)</f>
        <v>1.4</v>
      </c>
      <c r="AQ15" s="22">
        <f t="shared" ref="AQ15:AU15" ca="1" si="14">IF($B$130="Dividend per Share",AC77,AC106)</f>
        <v>1.4045902849278658</v>
      </c>
      <c r="AR15" s="22">
        <f t="shared" ca="1" si="14"/>
        <v>1.407451008374724</v>
      </c>
      <c r="AS15" s="22">
        <f t="shared" ca="1" si="14"/>
        <v>1.4130666914039924</v>
      </c>
      <c r="AT15" s="22">
        <f t="shared" ca="1" si="14"/>
        <v>1.4182649928284077</v>
      </c>
      <c r="AU15" s="22">
        <f t="shared" ca="1" si="14"/>
        <v>1.4239518902274042</v>
      </c>
      <c r="BA15" s="2" t="s">
        <v>5</v>
      </c>
      <c r="BB15" s="2">
        <v>2012</v>
      </c>
      <c r="BC15" s="2" t="b">
        <f>AND(ISNUMBER(BB15), BB15&gt;=0)</f>
        <v>1</v>
      </c>
    </row>
    <row r="16" spans="1:59" ht="14.65" thickBot="1" x14ac:dyDescent="0.5">
      <c r="A16" s="16" t="s">
        <v>6</v>
      </c>
      <c r="B16" s="14">
        <v>15755</v>
      </c>
      <c r="C16" s="15" t="b">
        <f>AND(ISNUMBER(B16), B16&gt;=0)</f>
        <v>1</v>
      </c>
      <c r="D16" s="9"/>
      <c r="E16" s="9"/>
      <c r="F16" s="9"/>
      <c r="G16" s="9"/>
      <c r="AA16" s="11" t="s">
        <v>9</v>
      </c>
      <c r="AB16" s="12">
        <f>B19</f>
        <v>120212</v>
      </c>
      <c r="AC16" s="25">
        <f>IF($B$135="No",(AB37*AC51+AB56*AC52),(((AB37+AC37)/2)*AC51+((AB56+AC56)/2)*AC52))</f>
        <v>125072.232</v>
      </c>
      <c r="AD16" s="25">
        <f>IF($B$135="No",((AC37*AD51)+(AC56*AD52)+((AC39-$AB$39)*AD53)),((((AC37+AD37)/2)*AD51)+(AC56*AD52)+((((AC39+AD39)/2)-$AB$39)*AD53)))</f>
        <v>129849.79354400755</v>
      </c>
      <c r="AE16" s="25">
        <f>IF($B$135="No",((AD37*AE51)+(AD56*AE52)+((AD39-$AB$39)*AE53)),((((AD37+AE37)/2)*AE51)+(AD56*AE52)+((((AD39+AE39)/2)-$AB$39)*AE53)))</f>
        <v>131779.33671453645</v>
      </c>
      <c r="AF16" s="25">
        <f>IF($B$135="No",((AE37*AF51)+(AE56*AF52)+((AE39-$AB$39)*AF53)),((((AE37+AF37)/2)*AF51)+(AE56*AF52)+((((AE39+AF39)/2)-$AB$39)*AF53)))</f>
        <v>136597.69701884472</v>
      </c>
      <c r="AG16" s="25">
        <f>IF($B$135="No",((AF37*AG51)+(AF56*AG52)+((AF39-$AB$39)*AG53)),((((AF37+AG37)/2)*AG51)+(AF56*AG52)+((((AF39+AG39)/2)-$AB$39)*AG53)))</f>
        <v>141266.15278035228</v>
      </c>
      <c r="AJ16" s="9"/>
      <c r="AK16" s="9"/>
      <c r="AL16" s="9"/>
      <c r="AM16" s="9"/>
      <c r="AN16" s="9"/>
      <c r="BA16" s="2" t="s">
        <v>6</v>
      </c>
      <c r="BB16" s="2">
        <v>15755</v>
      </c>
      <c r="BC16" s="2" t="b">
        <f>AND(ISNUMBER(BB16), BB16&gt;=0)</f>
        <v>1</v>
      </c>
    </row>
    <row r="17" spans="1:55" x14ac:dyDescent="0.45">
      <c r="A17" s="8" t="s">
        <v>7</v>
      </c>
      <c r="B17" s="26">
        <v>0</v>
      </c>
      <c r="C17" s="15" t="b">
        <f>AND(ISNUMBER(B17), B17&gt;=0)</f>
        <v>1</v>
      </c>
      <c r="D17" s="9"/>
      <c r="E17" s="9"/>
      <c r="F17" s="9"/>
      <c r="G17" s="9"/>
      <c r="AA17" s="13" t="s">
        <v>10</v>
      </c>
      <c r="AB17" s="9">
        <f t="shared" ref="AB17:AG17" si="15">AB15-AB16</f>
        <v>516594</v>
      </c>
      <c r="AC17" s="9">
        <f t="shared" ca="1" si="15"/>
        <v>635028.64678894624</v>
      </c>
      <c r="AD17" s="9">
        <f t="shared" ca="1" si="15"/>
        <v>700669.49133135367</v>
      </c>
      <c r="AE17" s="9">
        <f t="shared" ca="1" si="15"/>
        <v>809289.57910003001</v>
      </c>
      <c r="AF17" s="9">
        <f t="shared" ca="1" si="15"/>
        <v>878175.42501409096</v>
      </c>
      <c r="AG17" s="9">
        <f t="shared" ca="1" si="15"/>
        <v>954811.35134800791</v>
      </c>
      <c r="AJ17" s="9"/>
      <c r="AK17" s="9"/>
      <c r="AL17" s="9"/>
      <c r="AM17" s="9"/>
      <c r="AN17" s="9"/>
      <c r="AO17" s="2" t="s">
        <v>112</v>
      </c>
      <c r="AP17" s="27">
        <f ca="1">AP7/AP10</f>
        <v>17.394194707408968</v>
      </c>
      <c r="AQ17" s="27">
        <f t="shared" ref="AQ17:AU17" ca="1" si="16">AQ7/AQ10</f>
        <v>14.916734698417278</v>
      </c>
      <c r="AR17" s="27">
        <f t="shared" ca="1" si="16"/>
        <v>13.789842304542836</v>
      </c>
      <c r="AS17" s="27">
        <f t="shared" ca="1" si="16"/>
        <v>12.538015434763436</v>
      </c>
      <c r="AT17" s="27">
        <f t="shared" ca="1" si="16"/>
        <v>12.070592284518924</v>
      </c>
      <c r="AU17" s="27">
        <f t="shared" ca="1" si="16"/>
        <v>11.575592698757042</v>
      </c>
      <c r="BA17" s="2" t="s">
        <v>7</v>
      </c>
      <c r="BB17" s="2">
        <v>0</v>
      </c>
      <c r="BC17" s="2" t="b">
        <f>AND(ISNUMBER(BB17), BB17&gt;=0)</f>
        <v>1</v>
      </c>
    </row>
    <row r="18" spans="1:55" ht="14.65" thickBot="1" x14ac:dyDescent="0.5">
      <c r="A18" s="13" t="s">
        <v>8</v>
      </c>
      <c r="B18" s="15">
        <f>B12-SUM(B13:B17)</f>
        <v>636806</v>
      </c>
      <c r="C18" s="15"/>
      <c r="D18" s="9"/>
      <c r="E18" s="9"/>
      <c r="F18" s="9"/>
      <c r="G18" s="9"/>
      <c r="AA18" s="11" t="s">
        <v>11</v>
      </c>
      <c r="AB18" s="28">
        <f t="shared" si="4"/>
        <v>210323</v>
      </c>
      <c r="AC18" s="29">
        <f ca="1">IF($B$138="No",(AC17*AC133),((VLOOKUP(AC17,$B$69:$F$76,3,TRUE))+((AC17-VLOOKUP(AC17,$B$69:$F$76,1,TRUE))*(VLOOKUP(AC17,$B$69:$F$76,4,TRUE)))))</f>
        <v>254011.45871557851</v>
      </c>
      <c r="AD18" s="29">
        <f ca="1">IF($B$138="No",(AD17*AD133),((VLOOKUP(AD17,$B$69:$F$76,3,TRUE))+((AD17-VLOOKUP(AD17,$B$69:$F$76,1,TRUE))*(VLOOKUP(AD17,$B$69:$F$76,4,TRUE)))))</f>
        <v>280267.79653254146</v>
      </c>
      <c r="AE18" s="29">
        <f ca="1">IF($B$138="No",(AE17*AE133),((VLOOKUP(AE17,$B$69:$F$76,3,TRUE))+((AE17-VLOOKUP(AE17,$B$69:$F$76,1,TRUE))*(VLOOKUP(AE17,$B$69:$F$76,4,TRUE)))))</f>
        <v>323715.83164001204</v>
      </c>
      <c r="AF18" s="29">
        <f ca="1">IF($B$138="No",(AF17*AF133),((VLOOKUP(AF17,$B$69:$F$76,3,TRUE))+((AF17-VLOOKUP(AF17,$B$69:$F$76,1,TRUE))*(VLOOKUP(AF17,$B$69:$F$76,4,TRUE)))))</f>
        <v>351270.17000563641</v>
      </c>
      <c r="AG18" s="29">
        <f ca="1">IF($B$138="No",(AG17*AG133),((VLOOKUP(AG17,$B$69:$F$76,3,TRUE))+((AG17-VLOOKUP(AG17,$B$69:$F$76,1,TRUE))*(VLOOKUP(AG17,$B$69:$F$76,4,TRUE)))))</f>
        <v>381924.54053920321</v>
      </c>
      <c r="AJ18" s="9"/>
      <c r="AK18" s="9"/>
      <c r="AL18" s="9"/>
      <c r="AM18" s="9"/>
      <c r="AN18" s="9"/>
      <c r="AO18" s="2" t="s">
        <v>113</v>
      </c>
      <c r="AP18" s="27">
        <f ca="1">AP7/AP8</f>
        <v>2.30767918889926</v>
      </c>
      <c r="AQ18" s="27">
        <f t="shared" ref="AQ18:AU18" ca="1" si="17">AQ7/AQ8</f>
        <v>2.2332428044208812</v>
      </c>
      <c r="AR18" s="27">
        <f t="shared" ca="1" si="17"/>
        <v>2.2794353761849457</v>
      </c>
      <c r="AS18" s="27">
        <f t="shared" ca="1" si="17"/>
        <v>2.1961450810176579</v>
      </c>
      <c r="AT18" s="27">
        <f t="shared" ca="1" si="17"/>
        <v>2.1242928309876463</v>
      </c>
      <c r="AU18" s="27">
        <f t="shared" ca="1" si="17"/>
        <v>2.0508862733926034</v>
      </c>
      <c r="BA18" s="2" t="s">
        <v>8</v>
      </c>
      <c r="BB18" s="2">
        <f>BB12-SUM(BB13:BB17)</f>
        <v>636806</v>
      </c>
    </row>
    <row r="19" spans="1:55" x14ac:dyDescent="0.45">
      <c r="A19" s="8" t="s">
        <v>9</v>
      </c>
      <c r="B19" s="14">
        <v>120212</v>
      </c>
      <c r="C19" s="15" t="b">
        <f>AND(ISNUMBER(B19), B19&gt;=0)</f>
        <v>1</v>
      </c>
      <c r="D19" s="9"/>
      <c r="E19" s="9"/>
      <c r="F19" s="9"/>
      <c r="G19" s="9"/>
      <c r="AA19" s="30" t="s">
        <v>12</v>
      </c>
      <c r="AB19" s="9">
        <f>AB17-AB18</f>
        <v>306271</v>
      </c>
      <c r="AC19" s="9">
        <f ca="1">AC17-AC18</f>
        <v>381017.1880733677</v>
      </c>
      <c r="AD19" s="9">
        <f t="shared" ref="AD19:AG19" ca="1" si="18">AD17-AD18</f>
        <v>420401.69479881221</v>
      </c>
      <c r="AE19" s="9">
        <f t="shared" ca="1" si="18"/>
        <v>485573.74746001797</v>
      </c>
      <c r="AF19" s="9">
        <f t="shared" ca="1" si="18"/>
        <v>526905.25500845455</v>
      </c>
      <c r="AG19" s="9">
        <f t="shared" ca="1" si="18"/>
        <v>572886.8108088047</v>
      </c>
      <c r="AJ19" s="9"/>
      <c r="AK19" s="9"/>
      <c r="AL19" s="9"/>
      <c r="AM19" s="9"/>
      <c r="AN19" s="9"/>
      <c r="BA19" s="2" t="s">
        <v>9</v>
      </c>
      <c r="BB19" s="2">
        <v>120212</v>
      </c>
      <c r="BC19" s="2" t="b">
        <f>AND(ISNUMBER(BB19), BB19&gt;=0)</f>
        <v>1</v>
      </c>
    </row>
    <row r="20" spans="1:55" ht="14.65" thickBot="1" x14ac:dyDescent="0.5">
      <c r="A20" s="13" t="s">
        <v>10</v>
      </c>
      <c r="B20" s="15">
        <f>B18-B19</f>
        <v>516594</v>
      </c>
      <c r="C20" s="15"/>
      <c r="D20" s="9"/>
      <c r="E20" s="9"/>
      <c r="F20" s="9"/>
      <c r="G20" s="9"/>
      <c r="AA20" s="11" t="s">
        <v>13</v>
      </c>
      <c r="AB20" s="12">
        <f t="shared" si="4"/>
        <v>185376</v>
      </c>
      <c r="AC20" s="12">
        <f ca="1">AC19*$B$56</f>
        <v>228610.31284402061</v>
      </c>
      <c r="AD20" s="12">
        <f ca="1">AD19*$B$56</f>
        <v>252241.01687928732</v>
      </c>
      <c r="AE20" s="12">
        <f ca="1">AE19*$B$56</f>
        <v>291344.24847601075</v>
      </c>
      <c r="AF20" s="12">
        <f ca="1">AF19*$B$56</f>
        <v>316143.15300507273</v>
      </c>
      <c r="AG20" s="12">
        <f ca="1">AG19*$B$56</f>
        <v>343732.08648528281</v>
      </c>
      <c r="AO20" s="2" t="s">
        <v>114</v>
      </c>
      <c r="AP20" s="19">
        <f>IF($B$130="Dividend per Share",AB78,AB107)</f>
        <v>9.3999999999999986E-2</v>
      </c>
      <c r="AQ20" s="19">
        <f t="shared" ref="AQ20:AU20" ca="1" si="19">IF($B$130="Dividend per Share",AC78,AC107)</f>
        <v>9.4275417095671943E-2</v>
      </c>
      <c r="AR20" s="19">
        <f t="shared" ca="1" si="19"/>
        <v>9.4447060502483429E-2</v>
      </c>
      <c r="AS20" s="19">
        <f t="shared" ca="1" si="19"/>
        <v>9.4784001484239544E-2</v>
      </c>
      <c r="AT20" s="19">
        <f t="shared" ca="1" si="19"/>
        <v>9.5095899569704448E-2</v>
      </c>
      <c r="AU20" s="19">
        <f t="shared" ca="1" si="19"/>
        <v>9.5437113413644248E-2</v>
      </c>
      <c r="BA20" s="2" t="s">
        <v>10</v>
      </c>
      <c r="BB20" s="2">
        <f>BB18-BB19</f>
        <v>516594</v>
      </c>
    </row>
    <row r="21" spans="1:55" ht="14.65" thickBot="1" x14ac:dyDescent="0.5">
      <c r="A21" s="8" t="s">
        <v>11</v>
      </c>
      <c r="B21" s="14">
        <v>210323</v>
      </c>
      <c r="C21" s="15" t="b">
        <f>AND(ISNUMBER(B21), B21&gt;=0)</f>
        <v>1</v>
      </c>
      <c r="D21" s="9"/>
      <c r="E21" s="9"/>
      <c r="F21" s="9"/>
      <c r="G21" s="9"/>
      <c r="AA21" s="31" t="s">
        <v>14</v>
      </c>
      <c r="AB21" s="32">
        <f t="shared" si="4"/>
        <v>120895</v>
      </c>
      <c r="AC21" s="32">
        <f ca="1">AC19-AC20</f>
        <v>152406.87522934709</v>
      </c>
      <c r="AD21" s="32">
        <f t="shared" ref="AD21:AG21" ca="1" si="20">AD19-AD20</f>
        <v>168160.6779195249</v>
      </c>
      <c r="AE21" s="32">
        <f t="shared" ca="1" si="20"/>
        <v>194229.49898400722</v>
      </c>
      <c r="AF21" s="32">
        <f t="shared" ca="1" si="20"/>
        <v>210762.10200338182</v>
      </c>
      <c r="AG21" s="32">
        <f t="shared" ca="1" si="20"/>
        <v>229154.72432352189</v>
      </c>
      <c r="AO21" s="2" t="s">
        <v>115</v>
      </c>
      <c r="AQ21" s="19">
        <f>AP20</f>
        <v>9.3999999999999986E-2</v>
      </c>
      <c r="AR21" s="19">
        <f t="shared" ref="AR21:AU21" ca="1" si="21">AQ20</f>
        <v>9.4275417095671943E-2</v>
      </c>
      <c r="AS21" s="19">
        <f t="shared" ca="1" si="21"/>
        <v>9.4447060502483429E-2</v>
      </c>
      <c r="AT21" s="19">
        <f t="shared" ca="1" si="21"/>
        <v>9.4784001484239544E-2</v>
      </c>
      <c r="AU21" s="19">
        <f t="shared" ca="1" si="21"/>
        <v>9.5095899569704448E-2</v>
      </c>
      <c r="BA21" s="2" t="s">
        <v>11</v>
      </c>
      <c r="BB21" s="2">
        <v>210323</v>
      </c>
      <c r="BC21" s="2" t="b">
        <f>AND(ISNUMBER(BB21), BB21&gt;=0)</f>
        <v>1</v>
      </c>
    </row>
    <row r="22" spans="1:55" x14ac:dyDescent="0.45">
      <c r="A22" s="30" t="s">
        <v>12</v>
      </c>
      <c r="B22" s="33">
        <f>B20-B21</f>
        <v>306271</v>
      </c>
      <c r="C22" s="15"/>
      <c r="D22" s="9"/>
      <c r="E22" s="9"/>
      <c r="F22" s="9"/>
      <c r="G22" s="9"/>
      <c r="BA22" s="2" t="s">
        <v>12</v>
      </c>
      <c r="BB22" s="2">
        <f>BB20-BB21</f>
        <v>306271</v>
      </c>
    </row>
    <row r="23" spans="1:55" ht="14.65" thickBot="1" x14ac:dyDescent="0.5">
      <c r="A23" s="8" t="s">
        <v>13</v>
      </c>
      <c r="B23" s="14">
        <v>185376</v>
      </c>
      <c r="C23" s="15" t="b">
        <f>AND(ISNUMBER(B23), B23&gt;=0)</f>
        <v>1</v>
      </c>
      <c r="D23" s="9"/>
      <c r="E23" s="9"/>
      <c r="F23" s="9"/>
      <c r="G23" s="9"/>
      <c r="AA23" s="86" t="s">
        <v>31</v>
      </c>
      <c r="AB23" s="86"/>
      <c r="AC23" s="86"/>
      <c r="AD23" s="86"/>
      <c r="AE23" s="86"/>
      <c r="AF23" s="86"/>
      <c r="AG23" s="86"/>
      <c r="AH23" s="86"/>
      <c r="AO23" s="2" t="s">
        <v>116</v>
      </c>
      <c r="AP23" s="34">
        <f ca="1">AQ11/AP7</f>
        <v>4.2912677641487387E-2</v>
      </c>
      <c r="AQ23" s="34">
        <f ca="1">AR11/AQ7</f>
        <v>4.4381029810327925E-2</v>
      </c>
      <c r="AR23" s="34">
        <f ca="1">AS11/AR7</f>
        <v>5.0255395021889394E-2</v>
      </c>
      <c r="AS23" s="34">
        <f t="shared" ref="AS23:AU23" ca="1" si="22">AT11/AS7</f>
        <v>5.1927783044745449E-2</v>
      </c>
      <c r="AT23" s="34">
        <f t="shared" ca="1" si="22"/>
        <v>5.4045428382936078E-2</v>
      </c>
      <c r="AU23" s="34">
        <f t="shared" ca="1" si="22"/>
        <v>5.4062268048186542E-2</v>
      </c>
      <c r="AV23" s="34"/>
      <c r="BA23" s="2" t="s">
        <v>13</v>
      </c>
      <c r="BB23" s="2">
        <v>185376</v>
      </c>
      <c r="BC23" s="2" t="b">
        <f>AND(ISNUMBER(BB23), BB23&gt;=0)</f>
        <v>1</v>
      </c>
    </row>
    <row r="24" spans="1:55" x14ac:dyDescent="0.45">
      <c r="A24" s="8" t="s">
        <v>14</v>
      </c>
      <c r="B24" s="33">
        <f>B22-B23</f>
        <v>120895</v>
      </c>
      <c r="C24" s="15"/>
      <c r="D24" s="9"/>
      <c r="E24" s="9"/>
      <c r="F24" s="9"/>
      <c r="G24" s="9"/>
      <c r="AA24" s="35"/>
      <c r="AB24" s="35"/>
      <c r="AC24" s="35"/>
      <c r="AD24" s="35"/>
      <c r="AE24" s="35"/>
      <c r="AF24" s="35"/>
      <c r="AG24" s="35"/>
      <c r="AH24" s="35"/>
      <c r="AO24" s="2" t="s">
        <v>117</v>
      </c>
      <c r="AQ24" s="19">
        <f ca="1">AP23</f>
        <v>4.2912677641487387E-2</v>
      </c>
      <c r="AR24" s="19">
        <f t="shared" ref="AR24:AV24" ca="1" si="23">AQ23</f>
        <v>4.4381029810327925E-2</v>
      </c>
      <c r="AS24" s="19">
        <f t="shared" ca="1" si="23"/>
        <v>5.0255395021889394E-2</v>
      </c>
      <c r="AT24" s="19">
        <f t="shared" ca="1" si="23"/>
        <v>5.1927783044745449E-2</v>
      </c>
      <c r="AU24" s="19">
        <f t="shared" ca="1" si="23"/>
        <v>5.4045428382936078E-2</v>
      </c>
      <c r="AV24" s="19">
        <f t="shared" ca="1" si="23"/>
        <v>5.4062268048186542E-2</v>
      </c>
      <c r="BA24" s="2" t="s">
        <v>14</v>
      </c>
      <c r="BB24" s="2">
        <f>BB22-BB23</f>
        <v>120895</v>
      </c>
    </row>
    <row r="25" spans="1:55" x14ac:dyDescent="0.45">
      <c r="AA25" s="2" t="s">
        <v>77</v>
      </c>
      <c r="AB25" s="3">
        <v>0</v>
      </c>
      <c r="AC25" s="3">
        <f>AB25+1</f>
        <v>1</v>
      </c>
      <c r="AD25" s="3">
        <f t="shared" ref="AD25:AH25" si="24">AC25+1</f>
        <v>2</v>
      </c>
      <c r="AE25" s="3">
        <f t="shared" si="24"/>
        <v>3</v>
      </c>
      <c r="AF25" s="3">
        <f t="shared" si="24"/>
        <v>4</v>
      </c>
      <c r="AG25" s="3">
        <f t="shared" si="24"/>
        <v>5</v>
      </c>
      <c r="AH25" s="3">
        <f t="shared" si="24"/>
        <v>6</v>
      </c>
    </row>
    <row r="26" spans="1:55" ht="14.65" thickBot="1" x14ac:dyDescent="0.5">
      <c r="AA26" s="5"/>
      <c r="AB26" s="6"/>
      <c r="AC26" s="5"/>
      <c r="AD26" s="5"/>
      <c r="AE26" s="5"/>
      <c r="AF26" s="5"/>
      <c r="AG26" s="5"/>
      <c r="AO26" s="2" t="s">
        <v>118</v>
      </c>
      <c r="AQ26" s="36">
        <f>C50</f>
        <v>0.1</v>
      </c>
      <c r="AR26" s="36">
        <f t="shared" ref="AR26:AU26" si="25">D50</f>
        <v>0.09</v>
      </c>
      <c r="AS26" s="36">
        <f t="shared" si="25"/>
        <v>0.09</v>
      </c>
      <c r="AT26" s="36">
        <f t="shared" si="25"/>
        <v>0.08</v>
      </c>
      <c r="AU26" s="36">
        <f t="shared" si="25"/>
        <v>0.08</v>
      </c>
      <c r="AV26" s="36"/>
    </row>
    <row r="27" spans="1:55" x14ac:dyDescent="0.45">
      <c r="A27" s="84" t="s">
        <v>44</v>
      </c>
      <c r="B27" s="84"/>
      <c r="C27" s="84"/>
      <c r="D27" s="84"/>
      <c r="E27" s="84"/>
      <c r="F27" s="84"/>
      <c r="G27" s="84"/>
      <c r="AA27" s="37" t="s">
        <v>26</v>
      </c>
      <c r="AB27" s="9">
        <f t="shared" ref="AB27:AG27" si="26">IF(AB$25=0,$B28,AB7*$B$80)</f>
        <v>265022</v>
      </c>
      <c r="AC27" s="9">
        <f t="shared" si="26"/>
        <v>284935.47500000003</v>
      </c>
      <c r="AD27" s="9">
        <f t="shared" si="26"/>
        <v>310579.66775000002</v>
      </c>
      <c r="AE27" s="9">
        <f t="shared" si="26"/>
        <v>338531.83784750011</v>
      </c>
      <c r="AF27" s="9">
        <f t="shared" si="26"/>
        <v>365614.38487530011</v>
      </c>
      <c r="AG27" s="9">
        <f t="shared" si="26"/>
        <v>394863.53566532419</v>
      </c>
      <c r="AO27" s="2" t="s">
        <v>119</v>
      </c>
      <c r="AQ27" s="19">
        <f ca="1">(AC19-AB19)/AB19</f>
        <v>0.24405245052051189</v>
      </c>
      <c r="AR27" s="19">
        <f t="shared" ref="AR27:AU27" ca="1" si="27">(AD19-AC19)/AC19</f>
        <v>0.10336674553868351</v>
      </c>
      <c r="AS27" s="19">
        <f t="shared" ca="1" si="27"/>
        <v>0.15502328717393624</v>
      </c>
      <c r="AT27" s="19">
        <f t="shared" ca="1" si="27"/>
        <v>8.5118908846775754E-2</v>
      </c>
      <c r="AU27" s="19">
        <f t="shared" ca="1" si="27"/>
        <v>8.7267218087647175E-2</v>
      </c>
      <c r="BA27" s="2" t="s">
        <v>44</v>
      </c>
    </row>
    <row r="28" spans="1:55" x14ac:dyDescent="0.45">
      <c r="A28" s="38" t="s">
        <v>26</v>
      </c>
      <c r="B28" s="39">
        <v>265022</v>
      </c>
      <c r="C28" s="15" t="b">
        <f>AND(ISNUMBER(B28), B28&gt;=0)</f>
        <v>1</v>
      </c>
      <c r="D28" s="9"/>
      <c r="E28" s="40"/>
      <c r="F28" s="9"/>
      <c r="G28" s="9"/>
      <c r="AA28" s="41" t="s">
        <v>24</v>
      </c>
      <c r="AB28" s="9">
        <f t="shared" ref="AB28:AG28" si="28">IF(AB$25=0,$B29,AB7*$B$81)</f>
        <v>498037</v>
      </c>
      <c r="AC28" s="9">
        <f t="shared" si="28"/>
        <v>569870.95000000007</v>
      </c>
      <c r="AD28" s="9">
        <f t="shared" si="28"/>
        <v>621159.33550000004</v>
      </c>
      <c r="AE28" s="9">
        <f t="shared" si="28"/>
        <v>677063.67569500022</v>
      </c>
      <c r="AF28" s="9">
        <f t="shared" si="28"/>
        <v>731228.76975060022</v>
      </c>
      <c r="AG28" s="9">
        <f t="shared" si="28"/>
        <v>789727.07133064838</v>
      </c>
      <c r="AO28" s="2" t="s">
        <v>120</v>
      </c>
      <c r="AQ28" s="19">
        <f ca="1">(AC20-AB20)/AB20</f>
        <v>0.23322497434414707</v>
      </c>
      <c r="AR28" s="19">
        <f t="shared" ref="AR28:AU28" ca="1" si="29">(AD20-AC20)/AC20</f>
        <v>0.10336674553868351</v>
      </c>
      <c r="AS28" s="19">
        <f t="shared" ca="1" si="29"/>
        <v>0.15502328717393615</v>
      </c>
      <c r="AT28" s="19">
        <f t="shared" ca="1" si="29"/>
        <v>8.5118908846775893E-2</v>
      </c>
      <c r="AU28" s="19">
        <f t="shared" ca="1" si="29"/>
        <v>8.7267218087647133E-2</v>
      </c>
      <c r="BA28" s="2" t="s">
        <v>26</v>
      </c>
      <c r="BB28" s="2">
        <v>265022</v>
      </c>
      <c r="BC28" s="2" t="b">
        <f>AND(ISNUMBER(BB28), BB28&gt;=0)</f>
        <v>1</v>
      </c>
    </row>
    <row r="29" spans="1:55" ht="14.65" thickBot="1" x14ac:dyDescent="0.5">
      <c r="A29" s="42" t="s">
        <v>24</v>
      </c>
      <c r="B29" s="39">
        <v>498037</v>
      </c>
      <c r="C29" s="15" t="b">
        <f>AND(ISNUMBER(B29), B29&gt;=0)</f>
        <v>1</v>
      </c>
      <c r="D29" s="9"/>
      <c r="E29" s="40"/>
      <c r="F29" s="9"/>
      <c r="G29" s="9"/>
      <c r="AA29" s="11" t="s">
        <v>25</v>
      </c>
      <c r="AB29" s="43">
        <f t="shared" ref="AB29:AG29" si="30">IF(AB$25=0,$B30,AB7*$B$82)</f>
        <v>422055</v>
      </c>
      <c r="AC29" s="43">
        <f t="shared" si="30"/>
        <v>455896.76</v>
      </c>
      <c r="AD29" s="43">
        <f t="shared" si="30"/>
        <v>496927.46840000007</v>
      </c>
      <c r="AE29" s="43">
        <f t="shared" si="30"/>
        <v>541650.9405560001</v>
      </c>
      <c r="AF29" s="43">
        <f t="shared" si="30"/>
        <v>584983.01580048015</v>
      </c>
      <c r="AG29" s="43">
        <f t="shared" si="30"/>
        <v>631781.65706451866</v>
      </c>
      <c r="BA29" s="2" t="s">
        <v>24</v>
      </c>
      <c r="BB29" s="2">
        <v>498037</v>
      </c>
      <c r="BC29" s="2" t="b">
        <f>AND(ISNUMBER(BB29), BB29&gt;=0)</f>
        <v>1</v>
      </c>
    </row>
    <row r="30" spans="1:55" x14ac:dyDescent="0.45">
      <c r="A30" s="42" t="s">
        <v>25</v>
      </c>
      <c r="B30" s="39">
        <v>422055</v>
      </c>
      <c r="C30" s="15" t="b">
        <f>AND(ISNUMBER(B30), B30&gt;=0)</f>
        <v>1</v>
      </c>
      <c r="D30" s="9"/>
      <c r="E30" s="40"/>
      <c r="F30" s="9"/>
      <c r="G30" s="9"/>
      <c r="AA30" s="4" t="s">
        <v>16</v>
      </c>
      <c r="AB30" s="9">
        <f>SUM(AB27:AB29)</f>
        <v>1185114</v>
      </c>
      <c r="AC30" s="9">
        <f>SUM(AC27:AC29)</f>
        <v>1310703.1850000001</v>
      </c>
      <c r="AD30" s="9">
        <f t="shared" ref="AD30:AG30" si="31">SUM(AD27:AD29)</f>
        <v>1428666.4716500002</v>
      </c>
      <c r="AE30" s="9">
        <f t="shared" si="31"/>
        <v>1557246.4540985003</v>
      </c>
      <c r="AF30" s="9">
        <f t="shared" si="31"/>
        <v>1681826.1704263804</v>
      </c>
      <c r="AG30" s="9">
        <f t="shared" si="31"/>
        <v>1816372.2640604912</v>
      </c>
      <c r="AJ30" s="10"/>
      <c r="AO30" s="2" t="s">
        <v>121</v>
      </c>
      <c r="AQ30" s="19">
        <f ca="1">(AQ10-AP10)/AP10</f>
        <v>0.22565815570434336</v>
      </c>
      <c r="AR30" s="19">
        <f t="shared" ref="AR30" ca="1" si="32">(AR10-AQ10)/AQ10</f>
        <v>0.13569072732134005</v>
      </c>
      <c r="AS30" s="19">
        <f t="shared" ref="AS30:AU30" ca="1" si="33">(AS10-AR10)/AR10</f>
        <v>0.14844637714924119</v>
      </c>
      <c r="AT30" s="19">
        <f t="shared" ca="1" si="33"/>
        <v>8.3239915227948505E-2</v>
      </c>
      <c r="AU30" s="19">
        <f t="shared" ca="1" si="33"/>
        <v>8.5568239339581492E-2</v>
      </c>
      <c r="BA30" s="2" t="s">
        <v>25</v>
      </c>
      <c r="BB30" s="2">
        <v>422055</v>
      </c>
      <c r="BC30" s="2" t="b">
        <f>AND(ISNUMBER(BB30), BB30&gt;=0)</f>
        <v>1</v>
      </c>
    </row>
    <row r="31" spans="1:55" x14ac:dyDescent="0.45">
      <c r="A31" s="4" t="s">
        <v>16</v>
      </c>
      <c r="B31" s="44">
        <f>SUM(B28:B30)</f>
        <v>1185114</v>
      </c>
      <c r="C31" s="33"/>
      <c r="D31" s="33"/>
      <c r="E31" s="40"/>
      <c r="F31" s="33"/>
      <c r="G31" s="33"/>
      <c r="AA31" s="37" t="s">
        <v>17</v>
      </c>
      <c r="AB31" s="45">
        <f>AB32+AB33</f>
        <v>3665841</v>
      </c>
      <c r="AC31" s="45">
        <f t="shared" ref="AC31:AG31" si="34">AC32+AC33</f>
        <v>4356406.6999999993</v>
      </c>
      <c r="AD31" s="45">
        <f t="shared" si="34"/>
        <v>4763864.429250001</v>
      </c>
      <c r="AE31" s="45">
        <f t="shared" si="34"/>
        <v>5481303.4617525013</v>
      </c>
      <c r="AF31" s="45">
        <f t="shared" si="34"/>
        <v>6226073.5050170012</v>
      </c>
      <c r="AG31" s="45">
        <f t="shared" si="34"/>
        <v>7030425.1517426632</v>
      </c>
      <c r="AO31" s="2" t="s">
        <v>122</v>
      </c>
      <c r="AQ31" s="19"/>
      <c r="AR31" s="19">
        <f ca="1">(AR11-AQ11)/AQ11</f>
        <v>8.705259962039591E-2</v>
      </c>
      <c r="AS31" s="19">
        <f t="shared" ref="AS31:AU31" ca="1" si="35">(AS11-AR11)/AR11</f>
        <v>0.18886058727756289</v>
      </c>
      <c r="AT31" s="19">
        <f t="shared" ca="1" si="35"/>
        <v>7.894004690621495E-2</v>
      </c>
      <c r="AU31" s="19">
        <f t="shared" ca="1" si="35"/>
        <v>8.5384504453140525E-2</v>
      </c>
      <c r="BA31" s="2" t="s">
        <v>16</v>
      </c>
      <c r="BB31" s="2">
        <f>SUM(BB28:BB30)</f>
        <v>1185114</v>
      </c>
    </row>
    <row r="32" spans="1:55" ht="14.65" thickBot="1" x14ac:dyDescent="0.5">
      <c r="A32" s="38" t="s">
        <v>17</v>
      </c>
      <c r="B32" s="44">
        <f>B34+B33</f>
        <v>3665841</v>
      </c>
      <c r="C32" s="33"/>
      <c r="D32" s="33"/>
      <c r="E32" s="40"/>
      <c r="F32" s="33"/>
      <c r="G32" s="33"/>
      <c r="AA32" s="11" t="s">
        <v>18</v>
      </c>
      <c r="AB32" s="43">
        <f t="shared" ref="AB32:AB42" si="36">B33</f>
        <v>565091</v>
      </c>
      <c r="AC32" s="12">
        <f>AB32+AC11</f>
        <v>937181</v>
      </c>
      <c r="AD32" s="12">
        <f t="shared" ref="AD32:AG32" si="37">AC32+AD11</f>
        <v>1347488.084</v>
      </c>
      <c r="AE32" s="12">
        <f t="shared" si="37"/>
        <v>1757453.2454300001</v>
      </c>
      <c r="AF32" s="12">
        <f t="shared" si="37"/>
        <v>2204315.2713887002</v>
      </c>
      <c r="AG32" s="12">
        <f t="shared" si="37"/>
        <v>2686926.2594240964</v>
      </c>
      <c r="BA32" s="2" t="s">
        <v>17</v>
      </c>
      <c r="BB32" s="2">
        <f>BB34+BB33</f>
        <v>3665841</v>
      </c>
    </row>
    <row r="33" spans="1:55" ht="14.65" thickBot="1" x14ac:dyDescent="0.5">
      <c r="A33" s="46" t="s">
        <v>18</v>
      </c>
      <c r="B33" s="39">
        <v>565091</v>
      </c>
      <c r="C33" s="15" t="b">
        <f>AND(ISNUMBER(B33), B33&gt;=0)</f>
        <v>1</v>
      </c>
      <c r="D33" s="9"/>
      <c r="E33" s="40"/>
      <c r="F33" s="9"/>
      <c r="G33" s="9"/>
      <c r="AA33" s="47" t="s">
        <v>19</v>
      </c>
      <c r="AB33" s="43">
        <f>B34</f>
        <v>3100750</v>
      </c>
      <c r="AC33" s="43">
        <f>AC7*VLOOKUP(AC7,$B$90:$C$94,2,TRUE)</f>
        <v>3419225.6999999997</v>
      </c>
      <c r="AD33" s="43">
        <f>AD7*VLOOKUP(AD7,$B$90:$C$94,2,TRUE)</f>
        <v>3416376.3452500007</v>
      </c>
      <c r="AE33" s="43">
        <f>AE7*VLOOKUP(AE7,$B$90:$C$94,2,TRUE)</f>
        <v>3723850.2163225012</v>
      </c>
      <c r="AF33" s="43">
        <f>AF7*VLOOKUP(AF7,$B$90:$C$94,2,TRUE)</f>
        <v>4021758.2336283014</v>
      </c>
      <c r="AG33" s="43">
        <f>AG7*VLOOKUP(AG7,$B$90:$C$94,2,TRUE)</f>
        <v>4343498.8923185663</v>
      </c>
      <c r="BA33" s="2" t="s">
        <v>18</v>
      </c>
      <c r="BB33" s="2">
        <v>565091</v>
      </c>
      <c r="BC33" s="2" t="b">
        <f>AND(ISNUMBER(BB33), BB33&gt;=0)</f>
        <v>1</v>
      </c>
    </row>
    <row r="34" spans="1:55" x14ac:dyDescent="0.45">
      <c r="A34" s="7" t="s">
        <v>19</v>
      </c>
      <c r="B34" s="39">
        <v>3100750</v>
      </c>
      <c r="C34" s="15" t="b">
        <f>AND(ISNUMBER(B34), B34&gt;=0)</f>
        <v>1</v>
      </c>
      <c r="D34" s="9"/>
      <c r="E34" s="40"/>
      <c r="F34" s="9"/>
      <c r="G34" s="9"/>
      <c r="AA34" s="7" t="s">
        <v>20</v>
      </c>
      <c r="AB34" s="9">
        <f>AB30+AB33</f>
        <v>4285864</v>
      </c>
      <c r="AC34" s="9">
        <f>AC30+AC33</f>
        <v>4729928.8849999998</v>
      </c>
      <c r="AD34" s="9">
        <f t="shared" ref="AD34:AG34" si="38">AD30+AD33</f>
        <v>4845042.8169000009</v>
      </c>
      <c r="AE34" s="9">
        <f t="shared" si="38"/>
        <v>5281096.6704210015</v>
      </c>
      <c r="AF34" s="9">
        <f t="shared" si="38"/>
        <v>5703584.4040546818</v>
      </c>
      <c r="AG34" s="9">
        <f t="shared" si="38"/>
        <v>6159871.1563790571</v>
      </c>
      <c r="BA34" s="2" t="s">
        <v>19</v>
      </c>
      <c r="BB34" s="2">
        <v>3100750</v>
      </c>
      <c r="BC34" s="2" t="b">
        <f>AND(ISNUMBER(BB34), BB34&gt;=0)</f>
        <v>1</v>
      </c>
    </row>
    <row r="35" spans="1:55" ht="14.65" thickBot="1" x14ac:dyDescent="0.5">
      <c r="A35" s="7" t="s">
        <v>20</v>
      </c>
      <c r="B35" s="40">
        <f>B34+B31</f>
        <v>4285864</v>
      </c>
      <c r="C35" s="15"/>
      <c r="D35" s="15"/>
      <c r="E35" s="40"/>
      <c r="F35" s="15"/>
      <c r="G35" s="15"/>
      <c r="AA35" s="11"/>
      <c r="AB35" s="43"/>
      <c r="AC35" s="5"/>
      <c r="AD35" s="5"/>
      <c r="AE35" s="5"/>
      <c r="AF35" s="5"/>
      <c r="AG35" s="5"/>
      <c r="BA35" s="2" t="s">
        <v>20</v>
      </c>
      <c r="BB35" s="2">
        <f>BB34+BB31</f>
        <v>4285864</v>
      </c>
    </row>
    <row r="36" spans="1:55" x14ac:dyDescent="0.45">
      <c r="A36" s="7"/>
      <c r="B36" s="40"/>
      <c r="C36" s="9"/>
      <c r="D36" s="9"/>
      <c r="E36" s="40"/>
      <c r="F36" s="9"/>
      <c r="G36" s="9"/>
      <c r="AA36" s="37" t="s">
        <v>27</v>
      </c>
      <c r="AB36" s="48">
        <f t="shared" ref="AB36:AG36" si="39">IF(AB$25=0,$B37,AB7*$B$84)</f>
        <v>615276</v>
      </c>
      <c r="AC36" s="48">
        <f t="shared" si="39"/>
        <v>683845.14</v>
      </c>
      <c r="AD36" s="48">
        <f t="shared" si="39"/>
        <v>745391.20260000008</v>
      </c>
      <c r="AE36" s="48">
        <f t="shared" si="39"/>
        <v>812476.4108340001</v>
      </c>
      <c r="AF36" s="48">
        <f t="shared" si="39"/>
        <v>877474.52370072028</v>
      </c>
      <c r="AG36" s="48">
        <f t="shared" si="39"/>
        <v>947672.48559677787</v>
      </c>
    </row>
    <row r="37" spans="1:55" ht="14.65" thickBot="1" x14ac:dyDescent="0.5">
      <c r="A37" s="38" t="s">
        <v>27</v>
      </c>
      <c r="B37" s="39">
        <v>615276</v>
      </c>
      <c r="C37" s="15" t="b">
        <f>AND(ISNUMBER(B37), B37&gt;=0)</f>
        <v>1</v>
      </c>
      <c r="D37" s="9"/>
      <c r="E37" s="40"/>
      <c r="F37" s="9"/>
      <c r="G37" s="9"/>
      <c r="AA37" s="11" t="s">
        <v>28</v>
      </c>
      <c r="AB37" s="43">
        <f>IF(AB$25=0,$B38,AB8*$B$85)</f>
        <v>260062</v>
      </c>
      <c r="AC37" s="43">
        <f>IF(AC$25=0,$B38,AC7*$B$85)</f>
        <v>284935.47500000003</v>
      </c>
      <c r="AD37" s="43">
        <f>IF(AD$25=0,$B38,AD7*$B$85)</f>
        <v>310579.66775000002</v>
      </c>
      <c r="AE37" s="43">
        <f>IF(AE$25=0,$B38,AE7*$B$85)</f>
        <v>338531.83784750011</v>
      </c>
      <c r="AF37" s="43">
        <f>IF(AF$25=0,$B38,AF7*$B$85)</f>
        <v>365614.38487530011</v>
      </c>
      <c r="AG37" s="43">
        <f>IF(AG$25=0,$B38,AG7*$B$85)</f>
        <v>394863.53566532419</v>
      </c>
      <c r="BA37" s="2" t="s">
        <v>27</v>
      </c>
      <c r="BB37" s="2">
        <v>615276</v>
      </c>
      <c r="BC37" s="2" t="b">
        <f>AND(ISNUMBER(BB37), BB37&gt;=0)</f>
        <v>1</v>
      </c>
    </row>
    <row r="38" spans="1:55" x14ac:dyDescent="0.45">
      <c r="A38" s="38" t="s">
        <v>28</v>
      </c>
      <c r="B38" s="39">
        <v>260062</v>
      </c>
      <c r="C38" s="15" t="b">
        <f>AND(ISNUMBER(B38), B38&gt;=0)</f>
        <v>1</v>
      </c>
      <c r="D38" s="9"/>
      <c r="E38" s="40"/>
      <c r="F38" s="9"/>
      <c r="G38" s="9"/>
      <c r="AA38" s="7" t="s">
        <v>21</v>
      </c>
      <c r="AB38" s="49">
        <f>SUM(AB36:AB37)</f>
        <v>875338</v>
      </c>
      <c r="AC38" s="49">
        <f t="shared" ref="AC38:AG38" si="40">SUM(AC36:AC37)</f>
        <v>968780.61499999999</v>
      </c>
      <c r="AD38" s="49">
        <f t="shared" si="40"/>
        <v>1055970.87035</v>
      </c>
      <c r="AE38" s="49">
        <f t="shared" si="40"/>
        <v>1151008.2486815001</v>
      </c>
      <c r="AF38" s="49">
        <f t="shared" si="40"/>
        <v>1243088.9085760205</v>
      </c>
      <c r="AG38" s="49">
        <f t="shared" si="40"/>
        <v>1342536.0212621021</v>
      </c>
      <c r="BA38" s="2" t="s">
        <v>28</v>
      </c>
      <c r="BB38" s="2">
        <v>260062</v>
      </c>
      <c r="BC38" s="2" t="b">
        <f>AND(ISNUMBER(BB38), BB38&gt;=0)</f>
        <v>1</v>
      </c>
    </row>
    <row r="39" spans="1:55" ht="14.65" thickBot="1" x14ac:dyDescent="0.5">
      <c r="A39" s="7" t="s">
        <v>21</v>
      </c>
      <c r="B39" s="40">
        <f>SUM(B37:B38)</f>
        <v>875338</v>
      </c>
      <c r="C39" s="40"/>
      <c r="D39" s="40"/>
      <c r="E39" s="40"/>
      <c r="F39" s="40"/>
      <c r="G39" s="40"/>
      <c r="AA39" s="11" t="s">
        <v>22</v>
      </c>
      <c r="AB39" s="43">
        <f>B40</f>
        <v>1102000</v>
      </c>
      <c r="AC39" s="12">
        <f>AC62*AC34</f>
        <v>1216179.8954119869</v>
      </c>
      <c r="AD39" s="12">
        <f t="shared" ref="AD39:AG39" si="41">AD62*AD34</f>
        <v>1245778.4904569536</v>
      </c>
      <c r="AE39" s="12">
        <f t="shared" si="41"/>
        <v>1357898.5545980795</v>
      </c>
      <c r="AF39" s="12">
        <f t="shared" si="41"/>
        <v>1466530.4389659259</v>
      </c>
      <c r="AG39" s="12">
        <f t="shared" si="41"/>
        <v>1583852.8740832002</v>
      </c>
      <c r="BA39" s="2" t="s">
        <v>21</v>
      </c>
      <c r="BB39" s="2">
        <f>SUM(BB37:BB38)</f>
        <v>875338</v>
      </c>
    </row>
    <row r="40" spans="1:55" x14ac:dyDescent="0.45">
      <c r="A40" s="46" t="s">
        <v>22</v>
      </c>
      <c r="B40" s="39">
        <v>1102000</v>
      </c>
      <c r="C40" s="15" t="b">
        <f>AND(ISNUMBER(B40), B40&gt;=0)</f>
        <v>1</v>
      </c>
      <c r="D40" s="9"/>
      <c r="E40" s="40"/>
      <c r="F40" s="9"/>
      <c r="G40" s="9"/>
      <c r="AA40" s="4" t="s">
        <v>29</v>
      </c>
      <c r="AB40" s="45">
        <f>AB38+AB39</f>
        <v>1977338</v>
      </c>
      <c r="AC40" s="45">
        <f>AC38+AC39</f>
        <v>2184960.5104119871</v>
      </c>
      <c r="AD40" s="45">
        <f t="shared" ref="AD40:AF40" si="42">AD38+AD39</f>
        <v>2301749.3608069536</v>
      </c>
      <c r="AE40" s="45">
        <f t="shared" si="42"/>
        <v>2508906.8032795796</v>
      </c>
      <c r="AF40" s="45">
        <f t="shared" si="42"/>
        <v>2709619.3475419465</v>
      </c>
      <c r="AG40" s="45">
        <f>AG38+AG39</f>
        <v>2926388.8953453023</v>
      </c>
      <c r="BA40" s="2" t="s">
        <v>22</v>
      </c>
      <c r="BB40" s="2">
        <v>1102000</v>
      </c>
      <c r="BC40" s="2" t="b">
        <f>AND(ISNUMBER(BB40), BB40&gt;=0)</f>
        <v>1</v>
      </c>
    </row>
    <row r="41" spans="1:55" x14ac:dyDescent="0.45">
      <c r="A41" s="4" t="s">
        <v>29</v>
      </c>
      <c r="B41" s="44">
        <f>B39+B40</f>
        <v>1977338</v>
      </c>
      <c r="C41" s="44"/>
      <c r="D41" s="44"/>
      <c r="E41" s="40"/>
      <c r="F41" s="44"/>
      <c r="G41" s="44"/>
      <c r="AA41" s="8" t="s">
        <v>30</v>
      </c>
      <c r="AB41" s="45">
        <f t="shared" ref="AB41:AG41" si="43">AB43-AB42</f>
        <v>1998269</v>
      </c>
      <c r="AC41" s="45">
        <f t="shared" ca="1" si="43"/>
        <v>2082304.4993586657</v>
      </c>
      <c r="AD41" s="45">
        <f t="shared" ca="1" si="43"/>
        <v>1912468.9029441753</v>
      </c>
      <c r="AE41" s="45">
        <f t="shared" ca="1" si="43"/>
        <v>1947135.8150085427</v>
      </c>
      <c r="AF41" s="45">
        <f t="shared" ca="1" si="43"/>
        <v>1958148.9023764743</v>
      </c>
      <c r="AG41" s="45">
        <f t="shared" ca="1" si="43"/>
        <v>1968511.382573972</v>
      </c>
      <c r="BA41" s="2" t="s">
        <v>29</v>
      </c>
      <c r="BB41" s="2">
        <f>BB39+BB40</f>
        <v>1977338</v>
      </c>
    </row>
    <row r="42" spans="1:55" ht="14.65" thickBot="1" x14ac:dyDescent="0.5">
      <c r="A42" s="50" t="s">
        <v>30</v>
      </c>
      <c r="B42" s="44">
        <f>B44-B43</f>
        <v>1998269</v>
      </c>
      <c r="C42" s="44"/>
      <c r="D42" s="44"/>
      <c r="E42" s="40"/>
      <c r="F42" s="44"/>
      <c r="G42" s="44"/>
      <c r="AA42" s="11" t="s">
        <v>23</v>
      </c>
      <c r="AB42" s="43">
        <f t="shared" si="36"/>
        <v>310257</v>
      </c>
      <c r="AC42" s="12">
        <f ca="1">AB42+AC21</f>
        <v>462663.87522934709</v>
      </c>
      <c r="AD42" s="12">
        <f ca="1">AC42+AD21</f>
        <v>630824.55314887199</v>
      </c>
      <c r="AE42" s="12">
        <f ca="1">AD42+AE21</f>
        <v>825054.05213287915</v>
      </c>
      <c r="AF42" s="12">
        <f ca="1">AE42+AF21</f>
        <v>1035816.154136261</v>
      </c>
      <c r="AG42" s="12">
        <f ca="1">AF42+AG21</f>
        <v>1264970.8784597828</v>
      </c>
      <c r="BA42" s="2" t="s">
        <v>30</v>
      </c>
      <c r="BB42" s="2">
        <f>BB44-BB43</f>
        <v>1998269</v>
      </c>
    </row>
    <row r="43" spans="1:55" ht="14.65" thickBot="1" x14ac:dyDescent="0.5">
      <c r="A43" s="46" t="s">
        <v>23</v>
      </c>
      <c r="B43" s="39">
        <v>310257</v>
      </c>
      <c r="C43" s="15" t="b">
        <f>AND(ISNUMBER(B43), B43&gt;=0)</f>
        <v>1</v>
      </c>
      <c r="D43" s="9"/>
      <c r="E43" s="40"/>
      <c r="F43" s="9"/>
      <c r="G43" s="9"/>
      <c r="AA43" s="47" t="s">
        <v>32</v>
      </c>
      <c r="AB43" s="43">
        <f>AB44-AB40</f>
        <v>2308526</v>
      </c>
      <c r="AC43" s="43">
        <f t="shared" ref="AC43:AG43" si="44">AC44-AC40</f>
        <v>2544968.3745880127</v>
      </c>
      <c r="AD43" s="43">
        <f t="shared" si="44"/>
        <v>2543293.4560930473</v>
      </c>
      <c r="AE43" s="43">
        <f t="shared" si="44"/>
        <v>2772189.8671414219</v>
      </c>
      <c r="AF43" s="43">
        <f t="shared" si="44"/>
        <v>2993965.0565127353</v>
      </c>
      <c r="AG43" s="43">
        <f t="shared" si="44"/>
        <v>3233482.2610337548</v>
      </c>
      <c r="BA43" s="2" t="s">
        <v>23</v>
      </c>
      <c r="BB43" s="2">
        <v>310257</v>
      </c>
      <c r="BC43" s="2" t="b">
        <f>AND(ISNUMBER(BB43), BB43&gt;=0)</f>
        <v>1</v>
      </c>
    </row>
    <row r="44" spans="1:55" ht="14.65" thickBot="1" x14ac:dyDescent="0.5">
      <c r="A44" s="7" t="s">
        <v>32</v>
      </c>
      <c r="B44" s="40">
        <f>B45-B41</f>
        <v>2308526</v>
      </c>
      <c r="C44" s="40"/>
      <c r="D44" s="40"/>
      <c r="E44" s="40"/>
      <c r="F44" s="40"/>
      <c r="G44" s="40"/>
      <c r="AA44" s="47" t="s">
        <v>33</v>
      </c>
      <c r="AB44" s="43">
        <f>AB34</f>
        <v>4285864</v>
      </c>
      <c r="AC44" s="43">
        <f t="shared" ref="AC44:AG44" si="45">AC34</f>
        <v>4729928.8849999998</v>
      </c>
      <c r="AD44" s="43">
        <f t="shared" si="45"/>
        <v>4845042.8169000009</v>
      </c>
      <c r="AE44" s="43">
        <f t="shared" si="45"/>
        <v>5281096.6704210015</v>
      </c>
      <c r="AF44" s="43">
        <f t="shared" si="45"/>
        <v>5703584.4040546818</v>
      </c>
      <c r="AG44" s="43">
        <f t="shared" si="45"/>
        <v>6159871.1563790571</v>
      </c>
      <c r="BA44" s="2" t="s">
        <v>32</v>
      </c>
      <c r="BB44" s="2">
        <f>BB45-BB41</f>
        <v>2308526</v>
      </c>
    </row>
    <row r="45" spans="1:55" x14ac:dyDescent="0.45">
      <c r="A45" s="7" t="s">
        <v>33</v>
      </c>
      <c r="B45" s="40">
        <f>B35</f>
        <v>4285864</v>
      </c>
      <c r="C45" s="40"/>
      <c r="D45" s="40"/>
      <c r="E45" s="40"/>
      <c r="F45" s="40"/>
      <c r="G45" s="40"/>
      <c r="BA45" s="2" t="s">
        <v>33</v>
      </c>
      <c r="BB45" s="2">
        <f>BB35</f>
        <v>4285864</v>
      </c>
    </row>
    <row r="46" spans="1:55" ht="14.65" thickBot="1" x14ac:dyDescent="0.5">
      <c r="E46" s="40"/>
      <c r="AA46" s="86" t="s">
        <v>78</v>
      </c>
      <c r="AB46" s="86"/>
      <c r="AC46" s="86"/>
      <c r="AD46" s="86"/>
      <c r="AE46" s="86"/>
      <c r="AF46" s="86"/>
      <c r="AG46" s="86"/>
      <c r="AH46" s="86"/>
    </row>
    <row r="47" spans="1:55" x14ac:dyDescent="0.45">
      <c r="A47" s="2" t="s">
        <v>45</v>
      </c>
      <c r="B47" s="51">
        <v>501400</v>
      </c>
      <c r="C47" s="15" t="b">
        <f>AND(ISNUMBER(B47), B47&gt;0)</f>
        <v>1</v>
      </c>
      <c r="E47" s="40"/>
      <c r="BA47" s="2" t="s">
        <v>45</v>
      </c>
      <c r="BB47" s="2">
        <v>501400</v>
      </c>
      <c r="BC47" s="2" t="b">
        <f>AND(ISNUMBER(BB47), BB47&gt;0)</f>
        <v>1</v>
      </c>
    </row>
    <row r="48" spans="1:55" x14ac:dyDescent="0.45">
      <c r="AA48" s="2" t="s">
        <v>77</v>
      </c>
      <c r="AB48" s="3">
        <v>0</v>
      </c>
      <c r="AC48" s="3">
        <f>AB48+1</f>
        <v>1</v>
      </c>
      <c r="AD48" s="3">
        <f t="shared" ref="AD48:AH48" si="46">AC48+1</f>
        <v>2</v>
      </c>
      <c r="AE48" s="3">
        <f t="shared" si="46"/>
        <v>3</v>
      </c>
      <c r="AF48" s="3">
        <f t="shared" si="46"/>
        <v>4</v>
      </c>
      <c r="AG48" s="3">
        <f t="shared" si="46"/>
        <v>5</v>
      </c>
      <c r="AH48" s="3">
        <f t="shared" si="46"/>
        <v>6</v>
      </c>
    </row>
    <row r="49" spans="1:59" x14ac:dyDescent="0.45">
      <c r="A49" s="84" t="s">
        <v>0</v>
      </c>
      <c r="B49" s="84"/>
      <c r="C49" s="84"/>
      <c r="D49" s="84"/>
      <c r="E49" s="84"/>
      <c r="F49" s="84"/>
      <c r="G49" s="84"/>
      <c r="BA49" s="2" t="s">
        <v>0</v>
      </c>
    </row>
    <row r="50" spans="1:59" x14ac:dyDescent="0.45">
      <c r="A50" s="2" t="s">
        <v>50</v>
      </c>
      <c r="C50" s="52">
        <v>0.1</v>
      </c>
      <c r="D50" s="52">
        <v>0.09</v>
      </c>
      <c r="E50" s="52">
        <v>0.09</v>
      </c>
      <c r="F50" s="52">
        <v>0.08</v>
      </c>
      <c r="G50" s="52">
        <v>0.08</v>
      </c>
      <c r="AA50" s="2" t="s">
        <v>79</v>
      </c>
      <c r="AB50" s="19">
        <f>(B99+B106*B100)-B102</f>
        <v>9.7999999999999997E-3</v>
      </c>
      <c r="AC50" s="19">
        <f>(B99+B106*B100)-B102</f>
        <v>9.7999999999999997E-3</v>
      </c>
      <c r="AD50" s="19">
        <f>(B99+B106*B100)-B102</f>
        <v>9.7999999999999997E-3</v>
      </c>
      <c r="AE50" s="19">
        <f>(B99+B106*B100)-B102</f>
        <v>9.7999999999999997E-3</v>
      </c>
      <c r="AF50" s="19">
        <f>(B99+B106*B100)-B102</f>
        <v>9.7999999999999997E-3</v>
      </c>
      <c r="AG50" s="19">
        <f>(B99+B106*B100)-B102</f>
        <v>9.7999999999999997E-3</v>
      </c>
      <c r="AH50" s="19"/>
      <c r="BA50" s="2" t="s">
        <v>50</v>
      </c>
      <c r="BC50" s="2">
        <v>0.1</v>
      </c>
      <c r="BD50" s="2">
        <v>0.09</v>
      </c>
      <c r="BE50" s="2">
        <v>0.09</v>
      </c>
      <c r="BF50" s="2">
        <v>0.08</v>
      </c>
      <c r="BG50" s="2">
        <v>0.08</v>
      </c>
    </row>
    <row r="51" spans="1:59" x14ac:dyDescent="0.45">
      <c r="C51" s="15" t="b">
        <f>AND(ISNUMBER(C50), C50&gt;0)</f>
        <v>1</v>
      </c>
      <c r="D51" s="15" t="b">
        <f>AND(ISNUMBER(D50), D50&gt;0)</f>
        <v>1</v>
      </c>
      <c r="E51" s="15" t="b">
        <f>AND(ISNUMBER(E50), E50&gt;0)</f>
        <v>1</v>
      </c>
      <c r="F51" s="15" t="b">
        <f>AND(ISNUMBER(F50), F50&gt;0)</f>
        <v>1</v>
      </c>
      <c r="G51" s="15" t="b">
        <f>AND(ISNUMBER(G50), G50&gt;0)</f>
        <v>1</v>
      </c>
      <c r="AA51" s="2" t="s">
        <v>80</v>
      </c>
      <c r="AB51" s="19">
        <f>(B99+B107*B100)+B101</f>
        <v>3.6000000000000004E-2</v>
      </c>
      <c r="AC51" s="19">
        <f>(B99+B107*B100)+B101</f>
        <v>3.6000000000000004E-2</v>
      </c>
      <c r="AD51" s="19">
        <f>(B99+B107*B100)+B101</f>
        <v>3.6000000000000004E-2</v>
      </c>
      <c r="AE51" s="19">
        <f>(B99+B107*B100)+B101</f>
        <v>3.6000000000000004E-2</v>
      </c>
      <c r="AF51" s="19">
        <f>(B99+B107*B100)+B101</f>
        <v>3.6000000000000004E-2</v>
      </c>
      <c r="AG51" s="19">
        <f>(B99+B107*B100)+B101</f>
        <v>3.6000000000000004E-2</v>
      </c>
      <c r="AH51" s="19"/>
      <c r="BC51" s="2" t="b">
        <f>AND(ISNUMBER(BC50), BC50&gt;0)</f>
        <v>1</v>
      </c>
      <c r="BD51" s="2" t="b">
        <f>AND(ISNUMBER(BD50), BD50&gt;0)</f>
        <v>1</v>
      </c>
      <c r="BE51" s="2" t="b">
        <f>AND(ISNUMBER(BE50), BE50&gt;0)</f>
        <v>1</v>
      </c>
      <c r="BF51" s="2" t="b">
        <f>AND(ISNUMBER(BF50), BF50&gt;0)</f>
        <v>1</v>
      </c>
      <c r="BG51" s="2" t="b">
        <f>AND(ISNUMBER(BG50), BG50&gt;0)</f>
        <v>1</v>
      </c>
    </row>
    <row r="52" spans="1:59" x14ac:dyDescent="0.45">
      <c r="AA52" s="2" t="s">
        <v>56</v>
      </c>
      <c r="AB52" s="19">
        <f t="shared" ref="AB52:AG52" si="47">$B$98</f>
        <v>0.105</v>
      </c>
      <c r="AC52" s="19">
        <f t="shared" si="47"/>
        <v>0.105</v>
      </c>
      <c r="AD52" s="19">
        <f t="shared" si="47"/>
        <v>0.105</v>
      </c>
      <c r="AE52" s="19">
        <f t="shared" si="47"/>
        <v>0.105</v>
      </c>
      <c r="AF52" s="19">
        <f t="shared" si="47"/>
        <v>0.105</v>
      </c>
      <c r="AG52" s="19">
        <f t="shared" si="47"/>
        <v>0.105</v>
      </c>
      <c r="AH52" s="19"/>
    </row>
    <row r="53" spans="1:59" x14ac:dyDescent="0.45">
      <c r="A53" s="84" t="s">
        <v>49</v>
      </c>
      <c r="B53" s="84"/>
      <c r="C53" s="84"/>
      <c r="D53" s="84"/>
      <c r="E53" s="84"/>
      <c r="F53" s="84"/>
      <c r="G53" s="84"/>
      <c r="AA53" s="2" t="s">
        <v>81</v>
      </c>
      <c r="AB53" s="19">
        <f>B99+B108*B100</f>
        <v>3.4000000000000002E-2</v>
      </c>
      <c r="AC53" s="19">
        <f>B99+B108*B100</f>
        <v>3.4000000000000002E-2</v>
      </c>
      <c r="AD53" s="19">
        <f>B99+B108*B100</f>
        <v>3.4000000000000002E-2</v>
      </c>
      <c r="AE53" s="19">
        <f>B99+B108*B100</f>
        <v>3.4000000000000002E-2</v>
      </c>
      <c r="AF53" s="19">
        <f>B99+B108*B100</f>
        <v>3.4000000000000002E-2</v>
      </c>
      <c r="AG53" s="19">
        <f>B99+B108*B100</f>
        <v>3.4000000000000002E-2</v>
      </c>
      <c r="AH53" s="19"/>
      <c r="BA53" s="2" t="s">
        <v>49</v>
      </c>
    </row>
    <row r="54" spans="1:59" x14ac:dyDescent="0.45">
      <c r="A54" s="2" t="s">
        <v>46</v>
      </c>
      <c r="B54" s="52">
        <v>0.8</v>
      </c>
      <c r="C54" s="15" t="b">
        <f>AND(ISNUMBER(B54), B54&gt;0, B54&lt;1)</f>
        <v>1</v>
      </c>
      <c r="BA54" s="2" t="s">
        <v>46</v>
      </c>
      <c r="BB54" s="2">
        <v>0.8</v>
      </c>
      <c r="BC54" s="2" t="b">
        <f>AND(ISNUMBER(BB54), BB54&gt;0, BB54&lt;1)</f>
        <v>1</v>
      </c>
    </row>
    <row r="55" spans="1:59" x14ac:dyDescent="0.45">
      <c r="A55" s="2" t="s">
        <v>47</v>
      </c>
      <c r="B55" s="52">
        <v>0.4</v>
      </c>
      <c r="C55" s="15" t="b">
        <f>AND(ISNUMBER(B55), B55&gt;0, B55&lt;1)</f>
        <v>1</v>
      </c>
      <c r="AA55" s="2" t="s">
        <v>82</v>
      </c>
      <c r="AC55" s="21">
        <f>AC56-AB56</f>
        <v>0</v>
      </c>
      <c r="AD55" s="21">
        <f t="shared" ref="AD55:AG55" si="48">AD56-AC56</f>
        <v>0</v>
      </c>
      <c r="AE55" s="21">
        <f t="shared" si="48"/>
        <v>0</v>
      </c>
      <c r="AF55" s="21">
        <f t="shared" si="48"/>
        <v>0</v>
      </c>
      <c r="AG55" s="21">
        <f t="shared" si="48"/>
        <v>0</v>
      </c>
      <c r="AH55" s="21"/>
      <c r="BA55" s="2" t="s">
        <v>47</v>
      </c>
      <c r="BB55" s="2">
        <v>0.4</v>
      </c>
      <c r="BC55" s="2" t="b">
        <f>AND(ISNUMBER(BB55), BB55&gt;0, BB55&lt;1)</f>
        <v>1</v>
      </c>
    </row>
    <row r="56" spans="1:59" x14ac:dyDescent="0.45">
      <c r="A56" s="2" t="s">
        <v>48</v>
      </c>
      <c r="B56" s="52">
        <v>0.6</v>
      </c>
      <c r="C56" s="15" t="b">
        <f>AND(ISNUMBER(B56), B56&gt;0, B56&lt;1)</f>
        <v>1</v>
      </c>
      <c r="AA56" s="2" t="s">
        <v>83</v>
      </c>
      <c r="AB56" s="9">
        <f>AB39</f>
        <v>1102000</v>
      </c>
      <c r="AC56" s="9">
        <f>AB56</f>
        <v>1102000</v>
      </c>
      <c r="AD56" s="9">
        <f t="shared" ref="AD56:AG56" si="49">AC56</f>
        <v>1102000</v>
      </c>
      <c r="AE56" s="9">
        <f t="shared" si="49"/>
        <v>1102000</v>
      </c>
      <c r="AF56" s="9">
        <f t="shared" si="49"/>
        <v>1102000</v>
      </c>
      <c r="AG56" s="9">
        <f t="shared" si="49"/>
        <v>1102000</v>
      </c>
      <c r="AH56" s="9"/>
      <c r="BA56" s="2" t="s">
        <v>48</v>
      </c>
      <c r="BB56" s="2">
        <v>0.6</v>
      </c>
      <c r="BC56" s="2" t="b">
        <f>AND(ISNUMBER(BB56), BB56&gt;0, BB56&lt;1)</f>
        <v>1</v>
      </c>
    </row>
    <row r="58" spans="1:59" x14ac:dyDescent="0.45">
      <c r="AA58" s="2" t="s">
        <v>84</v>
      </c>
      <c r="AC58" s="9">
        <f>AC39-AB39</f>
        <v>114179.89541198686</v>
      </c>
      <c r="AD58" s="9">
        <f t="shared" ref="AD58:AG58" si="50">AD39-AC39</f>
        <v>29598.595044966787</v>
      </c>
      <c r="AE58" s="9">
        <f t="shared" si="50"/>
        <v>112120.06414112588</v>
      </c>
      <c r="AF58" s="9">
        <f t="shared" si="50"/>
        <v>108631.88436784642</v>
      </c>
      <c r="AG58" s="9">
        <f t="shared" si="50"/>
        <v>117322.43511727429</v>
      </c>
      <c r="AH58" s="9"/>
    </row>
    <row r="59" spans="1:59" x14ac:dyDescent="0.45">
      <c r="B59" s="18" t="s">
        <v>0</v>
      </c>
      <c r="C59" s="18" t="s">
        <v>46</v>
      </c>
      <c r="AA59" s="2" t="s">
        <v>85</v>
      </c>
      <c r="AC59" s="9">
        <f>AB59+AC58</f>
        <v>114179.89541198686</v>
      </c>
      <c r="AD59" s="9">
        <f t="shared" ref="AD59:AG59" si="51">AC59+AD58</f>
        <v>143778.49045695364</v>
      </c>
      <c r="AE59" s="9">
        <f t="shared" si="51"/>
        <v>255898.55459807953</v>
      </c>
      <c r="AF59" s="9">
        <f t="shared" si="51"/>
        <v>364530.43896592595</v>
      </c>
      <c r="AG59" s="9">
        <f t="shared" si="51"/>
        <v>481852.87408320024</v>
      </c>
      <c r="BB59" s="2" t="s">
        <v>0</v>
      </c>
      <c r="BC59" s="2" t="s">
        <v>46</v>
      </c>
    </row>
    <row r="60" spans="1:59" x14ac:dyDescent="0.45">
      <c r="A60" s="53" t="b">
        <f>AND(ISNUMBER(B60),B60&gt;=0,B60&lt;B61)</f>
        <v>1</v>
      </c>
      <c r="B60" s="39">
        <v>0</v>
      </c>
      <c r="C60" s="52">
        <v>0.8</v>
      </c>
      <c r="D60" s="15" t="b">
        <f>AND(ISNUMBER(C60), C60&gt;0, C60&lt;1)</f>
        <v>1</v>
      </c>
      <c r="BA60" s="2" t="b">
        <f>AND(ISNUMBER(BB60),BB60&gt;=0,BB60&lt;BB61)</f>
        <v>1</v>
      </c>
      <c r="BB60" s="2">
        <v>0</v>
      </c>
      <c r="BC60" s="2">
        <v>0.8</v>
      </c>
      <c r="BD60" s="2" t="b">
        <f>AND(ISNUMBER(BC60), BC60&gt;0, BC60&lt;1)</f>
        <v>1</v>
      </c>
    </row>
    <row r="61" spans="1:59" x14ac:dyDescent="0.45">
      <c r="A61" s="53" t="b">
        <f>AND(ISNUMBER(B61),B61&gt;=0,B61&lt;B62)</f>
        <v>1</v>
      </c>
      <c r="B61" s="39">
        <v>6000000</v>
      </c>
      <c r="C61" s="52">
        <v>0.75</v>
      </c>
      <c r="D61" s="15" t="b">
        <f>AND(ISNUMBER(C61), C61&gt;0, C61&lt;1)</f>
        <v>1</v>
      </c>
      <c r="AA61" s="2" t="s">
        <v>86</v>
      </c>
      <c r="AB61" s="19">
        <f>AB39/AB34</f>
        <v>0.25712435112266746</v>
      </c>
      <c r="AC61" s="19"/>
      <c r="AD61" s="19"/>
      <c r="AE61" s="19"/>
      <c r="AF61" s="19"/>
      <c r="AG61" s="19"/>
      <c r="AH61" s="19"/>
      <c r="BA61" s="2" t="b">
        <f>AND(ISNUMBER(BB61),BB61&gt;=0,BB61&lt;BB62)</f>
        <v>1</v>
      </c>
      <c r="BB61" s="2">
        <v>6000000</v>
      </c>
      <c r="BC61" s="2">
        <v>0.75</v>
      </c>
      <c r="BD61" s="2" t="b">
        <f>AND(ISNUMBER(BC61), BC61&gt;0, BC61&lt;1)</f>
        <v>1</v>
      </c>
    </row>
    <row r="62" spans="1:59" x14ac:dyDescent="0.45">
      <c r="A62" s="53" t="b">
        <f>AND(ISNUMBER(B62),B62&gt;=0,B62&lt;B63)</f>
        <v>1</v>
      </c>
      <c r="B62" s="39">
        <v>8000000</v>
      </c>
      <c r="C62" s="52">
        <v>0.7</v>
      </c>
      <c r="D62" s="15" t="b">
        <f>AND(ISNUMBER(C62), C62&gt;0, C62&lt;1)</f>
        <v>1</v>
      </c>
      <c r="AA62" s="2" t="s">
        <v>87</v>
      </c>
      <c r="AB62" s="19">
        <f>AB61</f>
        <v>0.25712435112266746</v>
      </c>
      <c r="AC62" s="19">
        <f>AB62</f>
        <v>0.25712435112266746</v>
      </c>
      <c r="AD62" s="19">
        <f t="shared" ref="AD62:AG62" si="52">AC62</f>
        <v>0.25712435112266746</v>
      </c>
      <c r="AE62" s="19">
        <f t="shared" si="52"/>
        <v>0.25712435112266746</v>
      </c>
      <c r="AF62" s="19">
        <f t="shared" si="52"/>
        <v>0.25712435112266746</v>
      </c>
      <c r="AG62" s="19">
        <f t="shared" si="52"/>
        <v>0.25712435112266746</v>
      </c>
      <c r="AH62" s="19"/>
      <c r="BA62" s="2" t="b">
        <f>AND(ISNUMBER(BB62),BB62&gt;=0,BB62&lt;BB63)</f>
        <v>1</v>
      </c>
      <c r="BB62" s="2">
        <v>8000000</v>
      </c>
      <c r="BC62" s="2">
        <v>0.7</v>
      </c>
      <c r="BD62" s="2" t="b">
        <f>AND(ISNUMBER(BC62), BC62&gt;0, BC62&lt;1)</f>
        <v>1</v>
      </c>
    </row>
    <row r="63" spans="1:59" x14ac:dyDescent="0.45">
      <c r="A63" s="53" t="b">
        <f>AND(ISNUMBER(B63),B63&gt;=0,B63&lt;B64)</f>
        <v>1</v>
      </c>
      <c r="B63" s="39">
        <v>10000000</v>
      </c>
      <c r="C63" s="52">
        <v>0.65</v>
      </c>
      <c r="D63" s="15" t="b">
        <f>AND(ISNUMBER(C63), C63&gt;0, C63&lt;1)</f>
        <v>1</v>
      </c>
      <c r="BA63" s="2" t="b">
        <f>AND(ISNUMBER(BB63),BB63&gt;=0,BB63&lt;BB64)</f>
        <v>1</v>
      </c>
      <c r="BB63" s="2">
        <v>10000000</v>
      </c>
      <c r="BC63" s="2">
        <v>0.65</v>
      </c>
      <c r="BD63" s="2" t="b">
        <f>AND(ISNUMBER(BC63), BC63&gt;0, BC63&lt;1)</f>
        <v>1</v>
      </c>
    </row>
    <row r="64" spans="1:59" x14ac:dyDescent="0.45">
      <c r="A64" s="53" t="b">
        <f>AND(ISNUMBER(B64),B64&gt;=0)</f>
        <v>1</v>
      </c>
      <c r="B64" s="39">
        <v>15000000</v>
      </c>
      <c r="C64" s="52">
        <v>0.6</v>
      </c>
      <c r="D64" s="15" t="b">
        <f>AND(ISNUMBER(C64), C64&gt;0, C64&lt;1)</f>
        <v>1</v>
      </c>
      <c r="AA64" s="2" t="s">
        <v>88</v>
      </c>
      <c r="AC64" s="9">
        <f ca="1">AC41-AB41</f>
        <v>84035.499358665664</v>
      </c>
      <c r="AD64" s="9">
        <f ca="1">AD41-AC41</f>
        <v>-169835.59641449037</v>
      </c>
      <c r="AE64" s="9">
        <f ca="1">AE41-AD41</f>
        <v>34666.91206436744</v>
      </c>
      <c r="AF64" s="9">
        <f ca="1">AF41-AE41</f>
        <v>11013.087367931614</v>
      </c>
      <c r="AG64" s="9">
        <f ca="1">AG41-AF41</f>
        <v>10362.480197497644</v>
      </c>
      <c r="BA64" s="2" t="b">
        <f>AND(ISNUMBER(BB64),BB64&gt;=0)</f>
        <v>1</v>
      </c>
      <c r="BB64" s="2">
        <v>15000000</v>
      </c>
      <c r="BC64" s="2">
        <v>0.6</v>
      </c>
      <c r="BD64" s="2" t="b">
        <f>AND(ISNUMBER(BC64), BC64&gt;0, BC64&lt;1)</f>
        <v>1</v>
      </c>
    </row>
    <row r="65" spans="1:59" x14ac:dyDescent="0.45">
      <c r="AA65" s="2" t="s">
        <v>89</v>
      </c>
      <c r="AC65" s="9">
        <f ca="1">AC58+AC64</f>
        <v>198215.39477065252</v>
      </c>
      <c r="AD65" s="9">
        <f t="shared" ref="AD65:AG65" ca="1" si="53">AD58+AD64</f>
        <v>-140237.00136952358</v>
      </c>
      <c r="AE65" s="9">
        <f t="shared" ca="1" si="53"/>
        <v>146786.97620549332</v>
      </c>
      <c r="AF65" s="9">
        <f t="shared" ca="1" si="53"/>
        <v>119644.97173577803</v>
      </c>
      <c r="AG65" s="9">
        <f t="shared" ca="1" si="53"/>
        <v>127684.91531477193</v>
      </c>
    </row>
    <row r="66" spans="1:59" x14ac:dyDescent="0.45">
      <c r="B66" s="82" t="s">
        <v>140</v>
      </c>
      <c r="C66" s="82"/>
      <c r="D66" s="82"/>
      <c r="E66" s="82"/>
      <c r="F66" s="82"/>
      <c r="BB66" s="2" t="s">
        <v>140</v>
      </c>
    </row>
    <row r="67" spans="1:59" ht="14.65" thickBot="1" x14ac:dyDescent="0.5">
      <c r="B67" s="82" t="s">
        <v>141</v>
      </c>
      <c r="C67" s="82"/>
      <c r="D67" s="82"/>
      <c r="E67" s="82"/>
      <c r="F67" s="82"/>
      <c r="AA67" s="86" t="s">
        <v>90</v>
      </c>
      <c r="AB67" s="86"/>
      <c r="AC67" s="86"/>
      <c r="AD67" s="86"/>
      <c r="AE67" s="86"/>
      <c r="AF67" s="86"/>
      <c r="AG67" s="86"/>
      <c r="AH67" s="86"/>
      <c r="BB67" s="2" t="s">
        <v>141</v>
      </c>
    </row>
    <row r="68" spans="1:59" x14ac:dyDescent="0.45">
      <c r="B68" s="18" t="s">
        <v>136</v>
      </c>
      <c r="C68" s="18" t="s">
        <v>135</v>
      </c>
      <c r="D68" s="82" t="s">
        <v>137</v>
      </c>
      <c r="E68" s="82"/>
      <c r="F68" s="18" t="s">
        <v>139</v>
      </c>
      <c r="BB68" s="2" t="s">
        <v>136</v>
      </c>
      <c r="BC68" s="2" t="s">
        <v>135</v>
      </c>
      <c r="BD68" s="2" t="s">
        <v>137</v>
      </c>
      <c r="BF68" s="2" t="s">
        <v>139</v>
      </c>
    </row>
    <row r="69" spans="1:59" ht="14.65" thickBot="1" x14ac:dyDescent="0.5">
      <c r="A69" s="53" t="b">
        <f t="shared" ref="A69:A75" si="54">AND(ISNUMBER(B69),B69&gt;=0,B69&lt;B70)</f>
        <v>1</v>
      </c>
      <c r="B69" s="39">
        <v>0</v>
      </c>
      <c r="C69" s="39">
        <v>50000</v>
      </c>
      <c r="D69" s="39"/>
      <c r="E69" s="54">
        <v>0.15</v>
      </c>
      <c r="F69" s="39">
        <v>0</v>
      </c>
      <c r="G69" s="53" t="b">
        <f t="shared" ref="G69:G74" si="55">AND(ISNUMBER(F69),F69&gt;=0,F69&lt;F70)</f>
        <v>1</v>
      </c>
      <c r="AA69" s="86" t="s">
        <v>91</v>
      </c>
      <c r="AB69" s="86"/>
      <c r="AC69" s="86"/>
      <c r="AD69" s="86"/>
      <c r="AE69" s="86"/>
      <c r="AF69" s="86"/>
      <c r="AG69" s="86"/>
      <c r="AH69" s="86"/>
      <c r="BA69" s="2" t="b">
        <f t="shared" ref="BA69:BA75" si="56">AND(ISNUMBER(BB69),BB69&gt;=0,BB69&lt;BB70)</f>
        <v>1</v>
      </c>
      <c r="BB69" s="2">
        <v>0</v>
      </c>
      <c r="BC69" s="2">
        <v>50000</v>
      </c>
      <c r="BE69" s="2">
        <v>0.15</v>
      </c>
      <c r="BF69" s="2">
        <v>0</v>
      </c>
      <c r="BG69" s="2" t="b">
        <f t="shared" ref="BG69:BG74" si="57">AND(ISNUMBER(BF69),BF69&gt;=0,BF69&lt;BF70)</f>
        <v>1</v>
      </c>
    </row>
    <row r="70" spans="1:59" x14ac:dyDescent="0.45">
      <c r="A70" s="53" t="b">
        <f t="shared" si="54"/>
        <v>1</v>
      </c>
      <c r="B70" s="39">
        <v>50000</v>
      </c>
      <c r="C70" s="39">
        <v>75000</v>
      </c>
      <c r="D70" s="39">
        <v>7500</v>
      </c>
      <c r="E70" s="54">
        <v>0.25</v>
      </c>
      <c r="F70" s="39">
        <v>50000</v>
      </c>
      <c r="G70" s="53" t="b">
        <f t="shared" si="55"/>
        <v>1</v>
      </c>
      <c r="BA70" s="2" t="b">
        <f t="shared" si="56"/>
        <v>1</v>
      </c>
      <c r="BB70" s="2">
        <v>50000</v>
      </c>
      <c r="BC70" s="2">
        <v>75000</v>
      </c>
      <c r="BD70" s="2">
        <v>7500</v>
      </c>
      <c r="BE70" s="2">
        <v>0.25</v>
      </c>
      <c r="BF70" s="2">
        <v>50000</v>
      </c>
      <c r="BG70" s="2" t="b">
        <f t="shared" si="57"/>
        <v>1</v>
      </c>
    </row>
    <row r="71" spans="1:59" x14ac:dyDescent="0.45">
      <c r="A71" s="53" t="b">
        <f t="shared" si="54"/>
        <v>1</v>
      </c>
      <c r="B71" s="39">
        <v>75000</v>
      </c>
      <c r="C71" s="39">
        <v>100000</v>
      </c>
      <c r="D71" s="39">
        <v>13750</v>
      </c>
      <c r="E71" s="54">
        <v>0.34</v>
      </c>
      <c r="F71" s="39">
        <v>75000</v>
      </c>
      <c r="G71" s="53" t="b">
        <f t="shared" si="55"/>
        <v>1</v>
      </c>
      <c r="AA71" s="2" t="s">
        <v>77</v>
      </c>
      <c r="AB71" s="3">
        <v>0</v>
      </c>
      <c r="AC71" s="3">
        <f>AB71+1</f>
        <v>1</v>
      </c>
      <c r="AD71" s="3">
        <f t="shared" ref="AD71:AH71" si="58">AC71+1</f>
        <v>2</v>
      </c>
      <c r="AE71" s="3">
        <f t="shared" si="58"/>
        <v>3</v>
      </c>
      <c r="AF71" s="3">
        <f t="shared" si="58"/>
        <v>4</v>
      </c>
      <c r="AG71" s="3">
        <f t="shared" si="58"/>
        <v>5</v>
      </c>
      <c r="AH71" s="3">
        <f t="shared" si="58"/>
        <v>6</v>
      </c>
      <c r="BA71" s="2" t="b">
        <f t="shared" si="56"/>
        <v>1</v>
      </c>
      <c r="BB71" s="2">
        <v>75000</v>
      </c>
      <c r="BC71" s="2">
        <v>100000</v>
      </c>
      <c r="BD71" s="2">
        <v>13750</v>
      </c>
      <c r="BE71" s="2">
        <v>0.34</v>
      </c>
      <c r="BF71" s="2">
        <v>75000</v>
      </c>
      <c r="BG71" s="2" t="b">
        <f t="shared" si="57"/>
        <v>1</v>
      </c>
    </row>
    <row r="72" spans="1:59" x14ac:dyDescent="0.45">
      <c r="A72" s="53" t="b">
        <f t="shared" si="54"/>
        <v>1</v>
      </c>
      <c r="B72" s="39">
        <v>100000</v>
      </c>
      <c r="C72" s="39">
        <v>335000</v>
      </c>
      <c r="D72" s="39">
        <v>22250</v>
      </c>
      <c r="E72" s="54">
        <v>0.39</v>
      </c>
      <c r="F72" s="39">
        <v>100000</v>
      </c>
      <c r="G72" s="53" t="b">
        <f t="shared" si="55"/>
        <v>1</v>
      </c>
      <c r="BA72" s="2" t="b">
        <f t="shared" si="56"/>
        <v>1</v>
      </c>
      <c r="BB72" s="2">
        <v>100000</v>
      </c>
      <c r="BC72" s="2">
        <v>335000</v>
      </c>
      <c r="BD72" s="2">
        <v>22250</v>
      </c>
      <c r="BE72" s="2">
        <v>0.39</v>
      </c>
      <c r="BF72" s="2">
        <v>100000</v>
      </c>
      <c r="BG72" s="2" t="b">
        <f t="shared" si="57"/>
        <v>1</v>
      </c>
    </row>
    <row r="73" spans="1:59" x14ac:dyDescent="0.45">
      <c r="A73" s="53" t="b">
        <f t="shared" si="54"/>
        <v>1</v>
      </c>
      <c r="B73" s="39">
        <v>335000</v>
      </c>
      <c r="C73" s="39">
        <v>10000000</v>
      </c>
      <c r="D73" s="39">
        <v>113900</v>
      </c>
      <c r="E73" s="54">
        <v>0.34</v>
      </c>
      <c r="F73" s="39">
        <v>335000</v>
      </c>
      <c r="G73" s="53" t="b">
        <f t="shared" si="55"/>
        <v>1</v>
      </c>
      <c r="I73" s="55"/>
      <c r="AA73" s="2" t="s">
        <v>93</v>
      </c>
      <c r="AB73" s="56">
        <f t="shared" ref="AB73:AG73" ca="1" si="59">IF($B$137="No",((AB37+AB39)/AB92),(AB39/AB92))</f>
        <v>0.25567406302269258</v>
      </c>
      <c r="AC73" s="56">
        <f t="shared" ca="1" si="59"/>
        <v>0.26411662475527548</v>
      </c>
      <c r="AD73" s="56">
        <f t="shared" ca="1" si="59"/>
        <v>0.26846383426261777</v>
      </c>
      <c r="AE73" s="56">
        <f t="shared" ca="1" si="59"/>
        <v>0.27864550768244201</v>
      </c>
      <c r="AF73" s="56">
        <f t="shared" ca="1" si="59"/>
        <v>0.28807043554346101</v>
      </c>
      <c r="AG73" s="56">
        <f t="shared" ca="1" si="59"/>
        <v>0.29838122619650376</v>
      </c>
      <c r="AH73" s="57"/>
      <c r="BA73" s="2" t="b">
        <f t="shared" si="56"/>
        <v>1</v>
      </c>
      <c r="BB73" s="2">
        <v>335000</v>
      </c>
      <c r="BC73" s="2">
        <v>10000000</v>
      </c>
      <c r="BD73" s="2">
        <v>113900</v>
      </c>
      <c r="BE73" s="2">
        <v>0.34</v>
      </c>
      <c r="BF73" s="2">
        <v>335000</v>
      </c>
      <c r="BG73" s="2" t="b">
        <f t="shared" si="57"/>
        <v>1</v>
      </c>
    </row>
    <row r="74" spans="1:59" x14ac:dyDescent="0.45">
      <c r="A74" s="53" t="b">
        <f t="shared" si="54"/>
        <v>1</v>
      </c>
      <c r="B74" s="39">
        <v>10000000</v>
      </c>
      <c r="C74" s="39">
        <v>15000000</v>
      </c>
      <c r="D74" s="39">
        <v>3400000</v>
      </c>
      <c r="E74" s="54">
        <v>0.35</v>
      </c>
      <c r="F74" s="39">
        <v>10000000</v>
      </c>
      <c r="G74" s="53" t="b">
        <f t="shared" si="55"/>
        <v>1</v>
      </c>
      <c r="AA74" s="2" t="s">
        <v>94</v>
      </c>
      <c r="AB74" s="58">
        <f ca="1">(AB77+(AB75*AB73*(1-$AB$133)))/(1+(AB73*(1-$AB$133)))</f>
        <v>1.2593802801282747</v>
      </c>
      <c r="AC74" s="58">
        <f ca="1">AB74</f>
        <v>1.2593802801282747</v>
      </c>
      <c r="AD74" s="58">
        <f t="shared" ref="AD74:AF74" ca="1" si="60">AC74</f>
        <v>1.2593802801282747</v>
      </c>
      <c r="AE74" s="58">
        <f t="shared" ca="1" si="60"/>
        <v>1.2593802801282747</v>
      </c>
      <c r="AF74" s="58">
        <f t="shared" ca="1" si="60"/>
        <v>1.2593802801282747</v>
      </c>
      <c r="AG74" s="58">
        <f ca="1">AF74</f>
        <v>1.2593802801282747</v>
      </c>
      <c r="BA74" s="2" t="b">
        <f t="shared" si="56"/>
        <v>1</v>
      </c>
      <c r="BB74" s="2">
        <v>10000000</v>
      </c>
      <c r="BC74" s="2">
        <v>15000000</v>
      </c>
      <c r="BD74" s="2">
        <v>3400000</v>
      </c>
      <c r="BE74" s="2">
        <v>0.35</v>
      </c>
      <c r="BF74" s="2">
        <v>10000000</v>
      </c>
      <c r="BG74" s="2" t="b">
        <f t="shared" si="57"/>
        <v>1</v>
      </c>
    </row>
    <row r="75" spans="1:59" x14ac:dyDescent="0.45">
      <c r="A75" s="53" t="b">
        <f t="shared" si="54"/>
        <v>1</v>
      </c>
      <c r="B75" s="39">
        <v>15000000</v>
      </c>
      <c r="C75" s="39">
        <v>18333333</v>
      </c>
      <c r="D75" s="39">
        <v>5150000</v>
      </c>
      <c r="E75" s="54">
        <v>0.38</v>
      </c>
      <c r="F75" s="39">
        <v>15000000</v>
      </c>
      <c r="G75" s="53" t="b">
        <f>AND(ISNUMBER(F75),F75&gt;=0)</f>
        <v>1</v>
      </c>
      <c r="I75" s="55"/>
      <c r="AA75" s="2" t="s">
        <v>95</v>
      </c>
      <c r="AB75" s="59">
        <f t="shared" ref="AB75:AG75" si="61">IF($B$137="No",($B$107*(AB37/(AB37+AB39))+$B$108*(AB39/(AB37+AB39))),$B$108)</f>
        <v>0.34272022859458678</v>
      </c>
      <c r="AC75" s="59">
        <f t="shared" si="61"/>
        <v>0.34305524799433668</v>
      </c>
      <c r="AD75" s="59">
        <f t="shared" si="61"/>
        <v>0.34013338135976129</v>
      </c>
      <c r="AE75" s="59">
        <f t="shared" si="61"/>
        <v>0.34013338135976129</v>
      </c>
      <c r="AF75" s="59">
        <f t="shared" si="61"/>
        <v>0.34013338135976129</v>
      </c>
      <c r="AG75" s="59">
        <f t="shared" si="61"/>
        <v>0.34013338135976129</v>
      </c>
      <c r="BA75" s="2" t="b">
        <f t="shared" si="56"/>
        <v>1</v>
      </c>
      <c r="BB75" s="2">
        <v>15000000</v>
      </c>
      <c r="BC75" s="2">
        <v>18333333</v>
      </c>
      <c r="BD75" s="2">
        <v>5150000</v>
      </c>
      <c r="BE75" s="2">
        <v>0.38</v>
      </c>
      <c r="BF75" s="2">
        <v>15000000</v>
      </c>
      <c r="BG75" s="2" t="b">
        <f>AND(ISNUMBER(BF75),BF75&gt;=0)</f>
        <v>1</v>
      </c>
    </row>
    <row r="76" spans="1:59" x14ac:dyDescent="0.45">
      <c r="A76" s="53" t="b">
        <f>AND(ISNUMBER(B76),B76&gt;=0)</f>
        <v>1</v>
      </c>
      <c r="B76" s="39">
        <v>18333333</v>
      </c>
      <c r="C76" s="60" t="s">
        <v>138</v>
      </c>
      <c r="D76" s="39"/>
      <c r="E76" s="54">
        <v>0.35</v>
      </c>
      <c r="F76" s="39">
        <v>0</v>
      </c>
      <c r="G76" s="53" t="b">
        <f>AND(ISNUMBER(F76),F76=0)</f>
        <v>1</v>
      </c>
      <c r="AA76" s="2" t="s">
        <v>96</v>
      </c>
      <c r="AB76" s="61">
        <f t="shared" ref="AB76:AG76" si="62">IF($B$137="No",(AB51*(AB37/(AB37+AB39))+AB53*(AB39/(AB37+AB39))),AB53)</f>
        <v>3.4381865142702757E-2</v>
      </c>
      <c r="AC76" s="61">
        <f t="shared" si="62"/>
        <v>3.4379631680037756E-2</v>
      </c>
      <c r="AD76" s="61">
        <f t="shared" si="62"/>
        <v>3.4399110790934925E-2</v>
      </c>
      <c r="AE76" s="61">
        <f t="shared" si="62"/>
        <v>3.4399110790934932E-2</v>
      </c>
      <c r="AF76" s="61">
        <f t="shared" si="62"/>
        <v>3.4399110790934932E-2</v>
      </c>
      <c r="AG76" s="61">
        <f t="shared" si="62"/>
        <v>3.4399110790934932E-2</v>
      </c>
      <c r="BA76" s="2" t="b">
        <f>AND(ISNUMBER(BB76),BB76&gt;=0)</f>
        <v>1</v>
      </c>
      <c r="BB76" s="2">
        <v>18333333</v>
      </c>
      <c r="BC76" s="2" t="s">
        <v>138</v>
      </c>
      <c r="BE76" s="2">
        <v>0.35</v>
      </c>
      <c r="BF76" s="2">
        <v>0</v>
      </c>
      <c r="BG76" s="2" t="b">
        <f>AND(ISNUMBER(BF76),BF76=0)</f>
        <v>1</v>
      </c>
    </row>
    <row r="77" spans="1:59" x14ac:dyDescent="0.45">
      <c r="G77" s="55"/>
      <c r="AA77" s="2" t="s">
        <v>97</v>
      </c>
      <c r="AB77" s="58">
        <f>B109</f>
        <v>1.4</v>
      </c>
      <c r="AC77" s="58">
        <f ca="1">AC74+((AC74-AC75)*AC73*(1-AC133))</f>
        <v>1.4045902849278658</v>
      </c>
      <c r="AD77" s="58">
        <f t="shared" ref="AD77:AG77" ca="1" si="63">AD74+((AD74-AD75)*AD73*(1-AD133))</f>
        <v>1.407451008374724</v>
      </c>
      <c r="AE77" s="58">
        <f t="shared" ca="1" si="63"/>
        <v>1.4130666914039924</v>
      </c>
      <c r="AF77" s="58">
        <f t="shared" ca="1" si="63"/>
        <v>1.4182649928284077</v>
      </c>
      <c r="AG77" s="58">
        <f t="shared" ca="1" si="63"/>
        <v>1.4239518902274042</v>
      </c>
    </row>
    <row r="78" spans="1:59" x14ac:dyDescent="0.45">
      <c r="AA78" s="2" t="s">
        <v>98</v>
      </c>
      <c r="AB78" s="62">
        <f t="shared" ref="AB78:AG78" si="64">$B$99+$B$100*AB77</f>
        <v>9.3999999999999986E-2</v>
      </c>
      <c r="AC78" s="62">
        <f t="shared" ca="1" si="64"/>
        <v>9.4275417095671943E-2</v>
      </c>
      <c r="AD78" s="62">
        <f t="shared" ca="1" si="64"/>
        <v>9.4447060502483429E-2</v>
      </c>
      <c r="AE78" s="62">
        <f t="shared" ca="1" si="64"/>
        <v>9.4784001484239544E-2</v>
      </c>
      <c r="AF78" s="62">
        <f t="shared" ca="1" si="64"/>
        <v>9.5095899569704448E-2</v>
      </c>
      <c r="AG78" s="62">
        <f t="shared" ca="1" si="64"/>
        <v>9.5437113413644248E-2</v>
      </c>
    </row>
    <row r="79" spans="1:59" x14ac:dyDescent="0.45">
      <c r="A79" s="84" t="s">
        <v>51</v>
      </c>
      <c r="B79" s="84"/>
      <c r="C79" s="84"/>
      <c r="D79" s="84"/>
      <c r="E79" s="84"/>
      <c r="F79" s="84"/>
      <c r="G79" s="84"/>
      <c r="AA79" s="2" t="s">
        <v>99</v>
      </c>
      <c r="AB79" s="63">
        <f t="shared" ref="AB79:AG79" ca="1" si="65">IF($B$137="No",(AB76*(1-AB133)*((AB37+AB39)/(AB37+AB39+AB92))+AB78*(AB92/(AB37+AB39+AB92))),(AB76*(1-AB133)*((AB39)/(AB39+AB92))+AB78*(AB92/(AB39+AB92))))</f>
        <v>7.9060588744043966E-2</v>
      </c>
      <c r="AC79" s="63">
        <f t="shared" ca="1" si="65"/>
        <v>7.888794001326771E-2</v>
      </c>
      <c r="AD79" s="63">
        <f t="shared" ca="1" si="65"/>
        <v>7.8826063549146244E-2</v>
      </c>
      <c r="AE79" s="63">
        <f t="shared" ca="1" si="65"/>
        <v>7.862624589403143E-2</v>
      </c>
      <c r="AF79" s="63">
        <f t="shared" ca="1" si="65"/>
        <v>7.8444095041886888E-2</v>
      </c>
      <c r="AG79" s="63">
        <f t="shared" ca="1" si="65"/>
        <v>7.8247852540182516E-2</v>
      </c>
      <c r="BA79" s="2" t="s">
        <v>51</v>
      </c>
    </row>
    <row r="80" spans="1:59" x14ac:dyDescent="0.45">
      <c r="A80" s="2" t="s">
        <v>34</v>
      </c>
      <c r="B80" s="52">
        <v>0.05</v>
      </c>
      <c r="C80" s="15" t="b">
        <f t="shared" ref="C80:C85" si="66">AND(ISNUMBER(B80), B80&gt;0, B80&lt;1)</f>
        <v>1</v>
      </c>
      <c r="BA80" s="2" t="s">
        <v>34</v>
      </c>
      <c r="BB80" s="2">
        <v>0.05</v>
      </c>
      <c r="BC80" s="2" t="b">
        <f t="shared" ref="BC80:BC85" si="67">AND(ISNUMBER(BB80), BB80&gt;0, BB80&lt;1)</f>
        <v>1</v>
      </c>
    </row>
    <row r="81" spans="1:56" ht="14.65" thickBot="1" x14ac:dyDescent="0.5">
      <c r="A81" s="2" t="s">
        <v>35</v>
      </c>
      <c r="B81" s="52">
        <v>0.1</v>
      </c>
      <c r="C81" s="15" t="b">
        <f t="shared" si="66"/>
        <v>1</v>
      </c>
      <c r="AA81" s="86" t="s">
        <v>92</v>
      </c>
      <c r="AB81" s="86"/>
      <c r="AC81" s="86"/>
      <c r="AD81" s="86"/>
      <c r="AE81" s="86"/>
      <c r="AF81" s="86"/>
      <c r="AG81" s="86"/>
      <c r="AH81" s="86"/>
      <c r="BA81" s="2" t="s">
        <v>35</v>
      </c>
      <c r="BB81" s="2">
        <v>0.1</v>
      </c>
      <c r="BC81" s="2" t="b">
        <f t="shared" si="67"/>
        <v>1</v>
      </c>
    </row>
    <row r="82" spans="1:56" x14ac:dyDescent="0.45">
      <c r="A82" s="2" t="s">
        <v>36</v>
      </c>
      <c r="B82" s="52">
        <v>0.08</v>
      </c>
      <c r="C82" s="15" t="b">
        <f t="shared" si="66"/>
        <v>1</v>
      </c>
      <c r="BA82" s="2" t="s">
        <v>36</v>
      </c>
      <c r="BB82" s="2">
        <v>0.08</v>
      </c>
      <c r="BC82" s="2" t="b">
        <f t="shared" si="67"/>
        <v>1</v>
      </c>
    </row>
    <row r="83" spans="1:56" x14ac:dyDescent="0.45">
      <c r="A83" s="2" t="s">
        <v>52</v>
      </c>
      <c r="B83" s="52">
        <v>0.12</v>
      </c>
      <c r="C83" s="15" t="b">
        <f t="shared" si="66"/>
        <v>1</v>
      </c>
      <c r="AA83" s="2" t="s">
        <v>77</v>
      </c>
      <c r="AB83" s="3">
        <v>0</v>
      </c>
      <c r="AC83" s="3">
        <f>AB83+1</f>
        <v>1</v>
      </c>
      <c r="AD83" s="3">
        <f t="shared" ref="AD83:AH83" si="68">AC83+1</f>
        <v>2</v>
      </c>
      <c r="AE83" s="3">
        <f t="shared" si="68"/>
        <v>3</v>
      </c>
      <c r="AF83" s="3">
        <f t="shared" si="68"/>
        <v>4</v>
      </c>
      <c r="AG83" s="3">
        <f t="shared" si="68"/>
        <v>5</v>
      </c>
      <c r="AH83" s="3">
        <f t="shared" si="68"/>
        <v>6</v>
      </c>
      <c r="BA83" s="2" t="s">
        <v>52</v>
      </c>
      <c r="BB83" s="2">
        <v>0.12</v>
      </c>
      <c r="BC83" s="2" t="b">
        <f t="shared" si="67"/>
        <v>1</v>
      </c>
    </row>
    <row r="84" spans="1:56" x14ac:dyDescent="0.45">
      <c r="A84" s="2" t="s">
        <v>37</v>
      </c>
      <c r="B84" s="52">
        <v>0.12</v>
      </c>
      <c r="C84" s="15" t="b">
        <f t="shared" si="66"/>
        <v>1</v>
      </c>
      <c r="BA84" s="2" t="s">
        <v>37</v>
      </c>
      <c r="BB84" s="2">
        <v>0.12</v>
      </c>
      <c r="BC84" s="2" t="b">
        <f t="shared" si="67"/>
        <v>1</v>
      </c>
    </row>
    <row r="85" spans="1:56" x14ac:dyDescent="0.45">
      <c r="A85" s="2" t="s">
        <v>38</v>
      </c>
      <c r="B85" s="52">
        <v>0.05</v>
      </c>
      <c r="C85" s="15" t="b">
        <f t="shared" si="66"/>
        <v>1</v>
      </c>
      <c r="AA85" s="2" t="s">
        <v>100</v>
      </c>
      <c r="AB85" s="10"/>
      <c r="AC85" s="10">
        <f ca="1">AC20/AB91</f>
        <v>0.4559439825369378</v>
      </c>
      <c r="AD85" s="10">
        <f t="shared" ref="AD85:AF85" ca="1" si="69">AD20/AC91</f>
        <v>0.49563509149805463</v>
      </c>
      <c r="AE85" s="10">
        <f t="shared" ca="1" si="69"/>
        <v>0.58924102595374583</v>
      </c>
      <c r="AF85" s="10">
        <f t="shared" ca="1" si="69"/>
        <v>0.63575574018160075</v>
      </c>
      <c r="AG85" s="10">
        <f ca="1">AG20/AF91</f>
        <v>0.69003942901024629</v>
      </c>
      <c r="AH85" s="10">
        <f ca="1">AG85*(1+AH87)</f>
        <v>0.7185897036816139</v>
      </c>
      <c r="AI85" s="10"/>
      <c r="BA85" s="2" t="s">
        <v>38</v>
      </c>
      <c r="BB85" s="2">
        <v>0.05</v>
      </c>
      <c r="BC85" s="2" t="b">
        <f t="shared" si="67"/>
        <v>1</v>
      </c>
    </row>
    <row r="86" spans="1:56" x14ac:dyDescent="0.45">
      <c r="AA86" s="2" t="s">
        <v>101</v>
      </c>
      <c r="AC86" s="64"/>
      <c r="AD86" s="64"/>
      <c r="AE86" s="64"/>
      <c r="AF86" s="64"/>
      <c r="AG86" s="64">
        <f ca="1">AG78+$B$119</f>
        <v>0.10343711341364425</v>
      </c>
    </row>
    <row r="87" spans="1:56" x14ac:dyDescent="0.45">
      <c r="AA87" s="2" t="s">
        <v>102</v>
      </c>
      <c r="AC87" s="34"/>
      <c r="AD87" s="64"/>
      <c r="AE87" s="64"/>
      <c r="AF87" s="64"/>
      <c r="AG87" s="64"/>
      <c r="AH87" s="78">
        <f ca="1">IF($B$140="Calculated",((1-$B$56)*AG86),$B$125)</f>
        <v>4.1374845365457706E-2</v>
      </c>
    </row>
    <row r="88" spans="1:56" x14ac:dyDescent="0.45">
      <c r="A88" s="84" t="s">
        <v>53</v>
      </c>
      <c r="B88" s="84"/>
      <c r="C88" s="84"/>
      <c r="D88" s="84"/>
      <c r="E88" s="84"/>
      <c r="F88" s="84"/>
      <c r="G88" s="84"/>
      <c r="BA88" s="2" t="s">
        <v>53</v>
      </c>
    </row>
    <row r="89" spans="1:56" x14ac:dyDescent="0.45">
      <c r="B89" s="18" t="s">
        <v>0</v>
      </c>
      <c r="C89" s="18" t="s">
        <v>54</v>
      </c>
      <c r="AA89" s="2" t="s">
        <v>103</v>
      </c>
      <c r="AB89" s="65">
        <f ca="1">IFERROR((AC85+AC89)/(1+AB78), 10.62)</f>
        <v>10.624925024397392</v>
      </c>
      <c r="AC89" s="65">
        <f ca="1">IFERROR((AD85+AD89)/(1+AC78), 11.17)</f>
        <v>11.167723994153809</v>
      </c>
      <c r="AD89" s="65">
        <f ca="1">IFERROR((AE85+AE89)/(1+AD78), 1.72)</f>
        <v>11.724930740213946</v>
      </c>
      <c r="AE89" s="65">
        <f ca="1">IFERROR((AF85+AF89)/(1+AE78), 12.24)</f>
        <v>12.243074957268615</v>
      </c>
      <c r="AF89" s="65">
        <f ca="1">IFERROR((AG85+AG89)/(1+AF78), 12.77)</f>
        <v>12.767766852008419</v>
      </c>
      <c r="AG89" s="79">
        <f ca="1">IF($B$139="P/E Ratio",(B124*(AG19/AF91)),(AH85/(AG78-$AH$87)))</f>
        <v>13.291889697286168</v>
      </c>
      <c r="AH89" s="65"/>
      <c r="BB89" s="2" t="s">
        <v>0</v>
      </c>
      <c r="BC89" s="2" t="s">
        <v>54</v>
      </c>
    </row>
    <row r="90" spans="1:56" x14ac:dyDescent="0.45">
      <c r="A90" s="53" t="b">
        <f>AND(ISNUMBER(B90),B90&gt;=0,B90&lt;B91)</f>
        <v>1</v>
      </c>
      <c r="B90" s="39">
        <v>0</v>
      </c>
      <c r="C90" s="52">
        <v>0.6</v>
      </c>
      <c r="D90" s="15" t="b">
        <f>AND(ISNUMBER(C90), C90&gt;0, C90&lt;1)</f>
        <v>1</v>
      </c>
      <c r="AA90" s="2" t="s">
        <v>104</v>
      </c>
      <c r="AC90" s="66">
        <f ca="1">AC64/AC89</f>
        <v>7524.8546080344931</v>
      </c>
      <c r="AD90" s="66">
        <f t="shared" ref="AD90:AG90" ca="1" si="70">AD64/AD89</f>
        <v>-14484.997837299921</v>
      </c>
      <c r="AE90" s="66">
        <f t="shared" ca="1" si="70"/>
        <v>2831.5527092142793</v>
      </c>
      <c r="AF90" s="66">
        <f t="shared" ca="1" si="70"/>
        <v>862.56958601959525</v>
      </c>
      <c r="AG90" s="66">
        <f t="shared" ca="1" si="70"/>
        <v>779.60925297276367</v>
      </c>
      <c r="BA90" s="2" t="b">
        <f>AND(ISNUMBER(BB90),BB90&gt;=0,BB90&lt;BB91)</f>
        <v>1</v>
      </c>
      <c r="BB90" s="2">
        <v>0</v>
      </c>
      <c r="BC90" s="2">
        <v>0.6</v>
      </c>
      <c r="BD90" s="2" t="b">
        <f>AND(ISNUMBER(BC90), BC90&gt;0, BC90&lt;1)</f>
        <v>1</v>
      </c>
    </row>
    <row r="91" spans="1:56" x14ac:dyDescent="0.45">
      <c r="A91" s="53" t="b">
        <f>AND(ISNUMBER(B91),B91&gt;=0,B91&lt;B92)</f>
        <v>1</v>
      </c>
      <c r="B91" s="39">
        <v>6000000</v>
      </c>
      <c r="C91" s="52">
        <v>0.55000000000000004</v>
      </c>
      <c r="D91" s="15" t="b">
        <f>AND(ISNUMBER(C91), C91&gt;0, C91&lt;1)</f>
        <v>1</v>
      </c>
      <c r="AA91" s="2" t="s">
        <v>105</v>
      </c>
      <c r="AB91" s="66">
        <f>B47</f>
        <v>501400</v>
      </c>
      <c r="AC91" s="66">
        <f ca="1">AB91+AC90</f>
        <v>508924.85460803448</v>
      </c>
      <c r="AD91" s="66">
        <f t="shared" ref="AD91:AG91" ca="1" si="71">AC91+AD90</f>
        <v>494439.85677073454</v>
      </c>
      <c r="AE91" s="66">
        <f t="shared" ca="1" si="71"/>
        <v>497271.40947994881</v>
      </c>
      <c r="AF91" s="66">
        <f ca="1">AE91+AF90</f>
        <v>498133.97906596842</v>
      </c>
      <c r="AG91" s="66">
        <f t="shared" ca="1" si="71"/>
        <v>498913.58831894118</v>
      </c>
      <c r="BA91" s="2" t="b">
        <f>AND(ISNUMBER(BB91),BB91&gt;=0,BB91&lt;BB92)</f>
        <v>1</v>
      </c>
      <c r="BB91" s="2">
        <v>6000000</v>
      </c>
      <c r="BC91" s="2">
        <v>0.55000000000000004</v>
      </c>
      <c r="BD91" s="2" t="b">
        <f>AND(ISNUMBER(BC91), BC91&gt;0, BC91&lt;1)</f>
        <v>1</v>
      </c>
    </row>
    <row r="92" spans="1:56" x14ac:dyDescent="0.45">
      <c r="A92" s="53" t="b">
        <f>AND(ISNUMBER(B92),B92&gt;=0,B92&lt;B93)</f>
        <v>1</v>
      </c>
      <c r="B92" s="39">
        <v>8000000</v>
      </c>
      <c r="C92" s="52">
        <v>0.5</v>
      </c>
      <c r="D92" s="15" t="b">
        <f>AND(ISNUMBER(C92), C92&gt;0, C92&lt;1)</f>
        <v>1</v>
      </c>
      <c r="AA92" s="2" t="s">
        <v>106</v>
      </c>
      <c r="AB92" s="9">
        <f ca="1">AB91*AB89</f>
        <v>5327337.4072328527</v>
      </c>
      <c r="AC92" s="9">
        <f t="shared" ref="AC92:AG92" ca="1" si="72">AC91*AC89</f>
        <v>5683532.3100273851</v>
      </c>
      <c r="AD92" s="9">
        <f t="shared" ca="1" si="72"/>
        <v>5797273.0758381654</v>
      </c>
      <c r="AE92" s="9">
        <f t="shared" ca="1" si="72"/>
        <v>6088131.1403696276</v>
      </c>
      <c r="AF92" s="9">
        <f t="shared" ca="1" si="72"/>
        <v>6360058.5057775276</v>
      </c>
      <c r="AG92" s="9">
        <f t="shared" ca="1" si="72"/>
        <v>6631504.3844126072</v>
      </c>
      <c r="BA92" s="2" t="b">
        <f>AND(ISNUMBER(BB92),BB92&gt;=0,BB92&lt;BB93)</f>
        <v>1</v>
      </c>
      <c r="BB92" s="2">
        <v>8000000</v>
      </c>
      <c r="BC92" s="2">
        <v>0.5</v>
      </c>
      <c r="BD92" s="2" t="b">
        <f>AND(ISNUMBER(BC92), BC92&gt;0, BC92&lt;1)</f>
        <v>1</v>
      </c>
    </row>
    <row r="93" spans="1:56" x14ac:dyDescent="0.45">
      <c r="A93" s="53" t="b">
        <f>AND(ISNUMBER(B93),B93&gt;=0,B93&lt;B94)</f>
        <v>1</v>
      </c>
      <c r="B93" s="39">
        <v>10000000</v>
      </c>
      <c r="C93" s="52">
        <v>0.4</v>
      </c>
      <c r="D93" s="15" t="b">
        <f>AND(ISNUMBER(C93), C93&gt;0, C93&lt;1)</f>
        <v>1</v>
      </c>
      <c r="AA93" s="2" t="s">
        <v>107</v>
      </c>
      <c r="AB93" s="9">
        <f ca="1">AB92+AB40</f>
        <v>7304675.4072328527</v>
      </c>
      <c r="AC93" s="9">
        <f t="shared" ref="AC93:AG93" ca="1" si="73">AC92+AC40</f>
        <v>7868492.8204393722</v>
      </c>
      <c r="AD93" s="9">
        <f t="shared" ca="1" si="73"/>
        <v>8099022.4366451185</v>
      </c>
      <c r="AE93" s="9">
        <f t="shared" ca="1" si="73"/>
        <v>8597037.9436492063</v>
      </c>
      <c r="AF93" s="9">
        <f t="shared" ca="1" si="73"/>
        <v>9069677.8533194736</v>
      </c>
      <c r="AG93" s="9">
        <f t="shared" ca="1" si="73"/>
        <v>9557893.2797579095</v>
      </c>
      <c r="BA93" s="2" t="b">
        <f>AND(ISNUMBER(BB93),BB93&gt;=0,BB93&lt;BB94)</f>
        <v>1</v>
      </c>
      <c r="BB93" s="2">
        <v>10000000</v>
      </c>
      <c r="BC93" s="2">
        <v>0.4</v>
      </c>
      <c r="BD93" s="2" t="b">
        <f>AND(ISNUMBER(BC93), BC93&gt;0, BC93&lt;1)</f>
        <v>1</v>
      </c>
    </row>
    <row r="94" spans="1:56" x14ac:dyDescent="0.45">
      <c r="A94" s="53" t="b">
        <f>AND(ISNUMBER(B94),B94&gt;=0)</f>
        <v>1</v>
      </c>
      <c r="B94" s="39">
        <v>15000000</v>
      </c>
      <c r="C94" s="52">
        <v>0.35</v>
      </c>
      <c r="D94" s="15" t="b">
        <f>AND(ISNUMBER(C94), C94&gt;0, C94&lt;1)</f>
        <v>1</v>
      </c>
      <c r="BA94" s="2" t="b">
        <f>AND(ISNUMBER(BB94),BB94&gt;=0)</f>
        <v>1</v>
      </c>
      <c r="BB94" s="2">
        <v>15000000</v>
      </c>
      <c r="BC94" s="2">
        <v>0.35</v>
      </c>
      <c r="BD94" s="2" t="b">
        <f>AND(ISNUMBER(BC94), BC94&gt;0, BC94&lt;1)</f>
        <v>1</v>
      </c>
    </row>
    <row r="96" spans="1:56" ht="14.65" thickBot="1" x14ac:dyDescent="0.5">
      <c r="AA96" s="86" t="s">
        <v>123</v>
      </c>
      <c r="AB96" s="86"/>
      <c r="AC96" s="86"/>
      <c r="AD96" s="86"/>
      <c r="AE96" s="86"/>
      <c r="AF96" s="86"/>
      <c r="AG96" s="86"/>
      <c r="AH96" s="86"/>
    </row>
    <row r="97" spans="1:55" x14ac:dyDescent="0.45">
      <c r="A97" s="84" t="s">
        <v>55</v>
      </c>
      <c r="B97" s="84"/>
      <c r="C97" s="84"/>
      <c r="D97" s="84"/>
      <c r="E97" s="84"/>
      <c r="F97" s="84"/>
      <c r="G97" s="84"/>
      <c r="BA97" s="2" t="s">
        <v>55</v>
      </c>
    </row>
    <row r="98" spans="1:55" ht="14.65" thickBot="1" x14ac:dyDescent="0.5">
      <c r="A98" s="2" t="s">
        <v>56</v>
      </c>
      <c r="B98" s="67">
        <v>0.105</v>
      </c>
      <c r="C98" s="15" t="b">
        <f>AND(ISNUMBER(B98), B98&gt;0, B98&lt;1)</f>
        <v>1</v>
      </c>
      <c r="AA98" s="86" t="s">
        <v>91</v>
      </c>
      <c r="AB98" s="86"/>
      <c r="AC98" s="86"/>
      <c r="AD98" s="86"/>
      <c r="AE98" s="86"/>
      <c r="AF98" s="86"/>
      <c r="AG98" s="86"/>
      <c r="AH98" s="86"/>
      <c r="BA98" s="2" t="s">
        <v>56</v>
      </c>
      <c r="BB98" s="2">
        <v>0.105</v>
      </c>
      <c r="BC98" s="2" t="b">
        <f>AND(ISNUMBER(BB98), BB98&gt;0, BB98&lt;1)</f>
        <v>1</v>
      </c>
    </row>
    <row r="99" spans="1:55" x14ac:dyDescent="0.45">
      <c r="A99" s="2" t="s">
        <v>57</v>
      </c>
      <c r="B99" s="67">
        <v>0.01</v>
      </c>
      <c r="C99" s="15" t="b">
        <f>AND(ISNUMBER(B99), B99&gt;0, B99&lt;1)</f>
        <v>1</v>
      </c>
      <c r="D99" s="68"/>
      <c r="BA99" s="2" t="s">
        <v>57</v>
      </c>
      <c r="BB99" s="2">
        <v>0.01</v>
      </c>
      <c r="BC99" s="2" t="b">
        <f>AND(ISNUMBER(BB99), BB99&gt;0, BB99&lt;1)</f>
        <v>1</v>
      </c>
    </row>
    <row r="100" spans="1:55" x14ac:dyDescent="0.45">
      <c r="A100" s="2" t="s">
        <v>58</v>
      </c>
      <c r="B100" s="67">
        <v>0.06</v>
      </c>
      <c r="C100" s="15" t="b">
        <f>AND(ISNUMBER(B100), B100&gt;0, B100&lt;1)</f>
        <v>1</v>
      </c>
      <c r="AA100" s="2" t="s">
        <v>77</v>
      </c>
      <c r="AB100" s="3">
        <v>0</v>
      </c>
      <c r="AC100" s="3">
        <f>AB100+1</f>
        <v>1</v>
      </c>
      <c r="AD100" s="3">
        <f t="shared" ref="AD100:AH100" si="74">AC100+1</f>
        <v>2</v>
      </c>
      <c r="AE100" s="3">
        <f t="shared" si="74"/>
        <v>3</v>
      </c>
      <c r="AF100" s="3">
        <f t="shared" si="74"/>
        <v>4</v>
      </c>
      <c r="AG100" s="3">
        <f t="shared" si="74"/>
        <v>5</v>
      </c>
      <c r="AH100" s="3">
        <f t="shared" si="74"/>
        <v>6</v>
      </c>
      <c r="BA100" s="2" t="s">
        <v>58</v>
      </c>
      <c r="BB100" s="2">
        <v>0.06</v>
      </c>
      <c r="BC100" s="2" t="b">
        <f>AND(ISNUMBER(BB100), BB100&gt;0, BB100&lt;1)</f>
        <v>1</v>
      </c>
    </row>
    <row r="101" spans="1:55" x14ac:dyDescent="0.45">
      <c r="A101" s="2" t="s">
        <v>59</v>
      </c>
      <c r="B101" s="67">
        <v>0.02</v>
      </c>
      <c r="C101" s="15" t="b">
        <f>AND(ISNUMBER(B101), B101&gt;0, B101&lt;1)</f>
        <v>1</v>
      </c>
      <c r="BA101" s="2" t="s">
        <v>59</v>
      </c>
      <c r="BB101" s="2">
        <v>0.02</v>
      </c>
      <c r="BC101" s="2" t="b">
        <f>AND(ISNUMBER(BB101), BB101&gt;0, BB101&lt;1)</f>
        <v>1</v>
      </c>
    </row>
    <row r="102" spans="1:55" x14ac:dyDescent="0.45">
      <c r="A102" s="2" t="s">
        <v>60</v>
      </c>
      <c r="B102" s="67">
        <v>5.0000000000000001E-3</v>
      </c>
      <c r="C102" s="15" t="b">
        <f>AND(ISNUMBER(B102), B102&gt;0, B102&lt;1)</f>
        <v>1</v>
      </c>
      <c r="AA102" s="2" t="s">
        <v>93</v>
      </c>
      <c r="AB102" s="56">
        <f t="shared" ref="AB102:AG102" ca="1" si="75">IF($B$137="No",((AB37+AB39)/AB121),(AB39/AB121))</f>
        <v>0.23961593471231923</v>
      </c>
      <c r="AC102" s="56">
        <f t="shared" ca="1" si="75"/>
        <v>0.24474954214462225</v>
      </c>
      <c r="AD102" s="56">
        <f t="shared" ca="1" si="75"/>
        <v>0.2554223917783941</v>
      </c>
      <c r="AE102" s="56">
        <f t="shared" ca="1" si="75"/>
        <v>0.26426507187336518</v>
      </c>
      <c r="AF102" s="56">
        <f t="shared" ca="1" si="75"/>
        <v>0.27316589552588016</v>
      </c>
      <c r="AG102" s="56">
        <f t="shared" ca="1" si="75"/>
        <v>0.28295894171188052</v>
      </c>
      <c r="AH102" s="57"/>
      <c r="BA102" s="2" t="s">
        <v>60</v>
      </c>
      <c r="BB102" s="2">
        <v>5.0000000000000001E-3</v>
      </c>
      <c r="BC102" s="2" t="b">
        <f>AND(ISNUMBER(BB102), BB102&gt;0, BB102&lt;1)</f>
        <v>1</v>
      </c>
    </row>
    <row r="103" spans="1:55" x14ac:dyDescent="0.45">
      <c r="B103" s="34"/>
      <c r="AA103" s="2" t="s">
        <v>94</v>
      </c>
      <c r="AB103" s="58">
        <f ca="1">(AB106+(AB104*AB102*(1-$AB$133)))/(1+(AB102*(1-$AB$133)))</f>
        <v>1.267102033825168</v>
      </c>
      <c r="AC103" s="58">
        <f ca="1">AB103</f>
        <v>1.267102033825168</v>
      </c>
      <c r="AD103" s="58">
        <f t="shared" ref="AD103:AG103" ca="1" si="76">AC103</f>
        <v>1.267102033825168</v>
      </c>
      <c r="AE103" s="58">
        <f t="shared" ca="1" si="76"/>
        <v>1.267102033825168</v>
      </c>
      <c r="AF103" s="58">
        <f t="shared" ca="1" si="76"/>
        <v>1.267102033825168</v>
      </c>
      <c r="AG103" s="58">
        <f t="shared" ca="1" si="76"/>
        <v>1.267102033825168</v>
      </c>
      <c r="AH103" s="24"/>
    </row>
    <row r="104" spans="1:55" x14ac:dyDescent="0.45">
      <c r="AA104" s="2" t="s">
        <v>95</v>
      </c>
      <c r="AB104" s="56">
        <f t="shared" ref="AB104:AG104" si="77">IF($B$137="No",($B$107*(AB37/(AB37+AB39))+$B$108*(AB39/(AB37+AB39))),$B$108)</f>
        <v>0.34272022859458678</v>
      </c>
      <c r="AC104" s="56">
        <f t="shared" si="77"/>
        <v>0.34305524799433668</v>
      </c>
      <c r="AD104" s="56">
        <f t="shared" si="77"/>
        <v>0.34013338135976129</v>
      </c>
      <c r="AE104" s="56">
        <f t="shared" si="77"/>
        <v>0.34013338135976129</v>
      </c>
      <c r="AF104" s="56">
        <f t="shared" si="77"/>
        <v>0.34013338135976129</v>
      </c>
      <c r="AG104" s="56">
        <f t="shared" si="77"/>
        <v>0.34013338135976129</v>
      </c>
      <c r="AH104" s="24"/>
    </row>
    <row r="105" spans="1:55" x14ac:dyDescent="0.45">
      <c r="A105" s="84" t="s">
        <v>61</v>
      </c>
      <c r="B105" s="84"/>
      <c r="C105" s="84"/>
      <c r="D105" s="84"/>
      <c r="E105" s="84"/>
      <c r="F105" s="84"/>
      <c r="G105" s="84"/>
      <c r="AA105" s="2" t="s">
        <v>96</v>
      </c>
      <c r="AB105" s="63">
        <f t="shared" ref="AB105:AG105" si="78">IF($B$137="No",(AB51*(AB37/(AB37+AB39))+AB53*(AB39/(AB37+AB39))),AB53)</f>
        <v>3.4381865142702757E-2</v>
      </c>
      <c r="AC105" s="63">
        <f t="shared" si="78"/>
        <v>3.4379631680037756E-2</v>
      </c>
      <c r="AD105" s="63">
        <f t="shared" si="78"/>
        <v>3.4399110790934925E-2</v>
      </c>
      <c r="AE105" s="63">
        <f t="shared" si="78"/>
        <v>3.4399110790934932E-2</v>
      </c>
      <c r="AF105" s="63">
        <f t="shared" si="78"/>
        <v>3.4399110790934932E-2</v>
      </c>
      <c r="AG105" s="63">
        <f t="shared" si="78"/>
        <v>3.4399110790934932E-2</v>
      </c>
      <c r="AH105" s="24"/>
      <c r="BA105" s="2" t="s">
        <v>61</v>
      </c>
    </row>
    <row r="106" spans="1:55" x14ac:dyDescent="0.45">
      <c r="A106" s="2" t="s">
        <v>62</v>
      </c>
      <c r="B106" s="69">
        <v>0.08</v>
      </c>
      <c r="C106" s="15" t="b">
        <f>ISNUMBER(B106)</f>
        <v>1</v>
      </c>
      <c r="AA106" s="2" t="s">
        <v>97</v>
      </c>
      <c r="AB106" s="58">
        <f>B109</f>
        <v>1.4</v>
      </c>
      <c r="AC106" s="58">
        <f ca="1">AC103+((AC103-AC104)*AC102*(1-AC133))</f>
        <v>1.4027980504765514</v>
      </c>
      <c r="AD106" s="58">
        <f t="shared" ref="AD106:AG106" ca="1" si="79">AD103+((AD103-AD104)*AD102*(1-AD133))</f>
        <v>1.4091631640149533</v>
      </c>
      <c r="AE106" s="58">
        <f t="shared" ca="1" si="79"/>
        <v>1.4140812963660443</v>
      </c>
      <c r="AF106" s="58">
        <f t="shared" ca="1" si="79"/>
        <v>1.4190317670702466</v>
      </c>
      <c r="AG106" s="58">
        <f t="shared" ca="1" si="79"/>
        <v>1.4244784751661876</v>
      </c>
      <c r="AH106" s="24"/>
      <c r="BA106" s="2" t="s">
        <v>62</v>
      </c>
      <c r="BB106" s="2">
        <v>0.08</v>
      </c>
      <c r="BC106" s="2" t="b">
        <f>ISNUMBER(BB106)</f>
        <v>1</v>
      </c>
    </row>
    <row r="107" spans="1:55" x14ac:dyDescent="0.45">
      <c r="A107" s="2" t="s">
        <v>63</v>
      </c>
      <c r="B107" s="69">
        <v>0.1</v>
      </c>
      <c r="C107" s="15" t="b">
        <f>ISNUMBER(B107)</f>
        <v>1</v>
      </c>
      <c r="AA107" s="2" t="s">
        <v>98</v>
      </c>
      <c r="AB107" s="62">
        <f t="shared" ref="AB107:AG107" si="80">$B$99+$B$100*AB106</f>
        <v>9.3999999999999986E-2</v>
      </c>
      <c r="AC107" s="62">
        <f t="shared" ca="1" si="80"/>
        <v>9.416788302859308E-2</v>
      </c>
      <c r="AD107" s="62">
        <f t="shared" ca="1" si="80"/>
        <v>9.4549789840897194E-2</v>
      </c>
      <c r="AE107" s="62">
        <f t="shared" ca="1" si="80"/>
        <v>9.4844877781962655E-2</v>
      </c>
      <c r="AF107" s="62">
        <f t="shared" ca="1" si="80"/>
        <v>9.5141906024214781E-2</v>
      </c>
      <c r="AG107" s="62">
        <f t="shared" ca="1" si="80"/>
        <v>9.5468708509971245E-2</v>
      </c>
      <c r="AH107" s="24"/>
      <c r="BA107" s="2" t="s">
        <v>63</v>
      </c>
      <c r="BB107" s="2">
        <v>0.1</v>
      </c>
      <c r="BC107" s="2" t="b">
        <f>ISNUMBER(BB107)</f>
        <v>1</v>
      </c>
    </row>
    <row r="108" spans="1:55" x14ac:dyDescent="0.45">
      <c r="A108" s="2" t="s">
        <v>64</v>
      </c>
      <c r="B108" s="69">
        <v>0.4</v>
      </c>
      <c r="C108" s="15" t="b">
        <f>ISNUMBER(B108)</f>
        <v>1</v>
      </c>
      <c r="AA108" s="2" t="s">
        <v>99</v>
      </c>
      <c r="AB108" s="63">
        <f t="shared" ref="AB108:AG108" ca="1" si="81">IF($B$137="No",(AB105*(1-AB133)*((AB37+AB39)/(AB37+AB39+AB121))+AB107*(AB121/(AB37+AB39+AB121))),(AB105*(1-AB133)*(AB39/(AB39+AB121))+AB107*(AB121/(AB39+AB121))))</f>
        <v>7.9817516765751259E-2</v>
      </c>
      <c r="AC108" s="63">
        <f t="shared" ca="1" si="81"/>
        <v>7.9708020880508587E-2</v>
      </c>
      <c r="AD108" s="63">
        <f t="shared" ca="1" si="81"/>
        <v>7.9512339740456017E-2</v>
      </c>
      <c r="AE108" s="63">
        <f t="shared" ca="1" si="81"/>
        <v>7.9333970466073961E-2</v>
      </c>
      <c r="AF108" s="63">
        <f t="shared" ca="1" si="81"/>
        <v>7.9156930546971288E-2</v>
      </c>
      <c r="AG108" s="63">
        <f t="shared" ca="1" si="81"/>
        <v>7.8964982282232851E-2</v>
      </c>
      <c r="AH108" s="24"/>
      <c r="BA108" s="2" t="s">
        <v>64</v>
      </c>
      <c r="BB108" s="2">
        <v>0.4</v>
      </c>
      <c r="BC108" s="2" t="b">
        <f>ISNUMBER(BB108)</f>
        <v>1</v>
      </c>
    </row>
    <row r="109" spans="1:55" x14ac:dyDescent="0.45">
      <c r="A109" s="2" t="s">
        <v>65</v>
      </c>
      <c r="B109" s="69">
        <v>1.4</v>
      </c>
      <c r="C109" s="15" t="b">
        <f>ISNUMBER(B109)</f>
        <v>1</v>
      </c>
      <c r="BA109" s="2" t="s">
        <v>65</v>
      </c>
      <c r="BB109" s="2">
        <v>1.4</v>
      </c>
      <c r="BC109" s="2" t="b">
        <f>ISNUMBER(BB109)</f>
        <v>1</v>
      </c>
    </row>
    <row r="110" spans="1:55" ht="14.65" thickBot="1" x14ac:dyDescent="0.5">
      <c r="AA110" s="86" t="s">
        <v>92</v>
      </c>
      <c r="AB110" s="86"/>
      <c r="AC110" s="86"/>
      <c r="AD110" s="86"/>
      <c r="AE110" s="86"/>
      <c r="AF110" s="86"/>
      <c r="AG110" s="86"/>
      <c r="AH110" s="86"/>
    </row>
    <row r="112" spans="1:55" x14ac:dyDescent="0.45">
      <c r="A112" s="84" t="s">
        <v>66</v>
      </c>
      <c r="B112" s="84"/>
      <c r="C112" s="84"/>
      <c r="D112" s="84"/>
      <c r="E112" s="84"/>
      <c r="F112" s="84"/>
      <c r="G112" s="84"/>
      <c r="AA112" s="2" t="s">
        <v>77</v>
      </c>
      <c r="AB112" s="3">
        <v>0</v>
      </c>
      <c r="AC112" s="3">
        <f>AB112+1</f>
        <v>1</v>
      </c>
      <c r="AD112" s="3">
        <f t="shared" ref="AD112:AH112" si="82">AC112+1</f>
        <v>2</v>
      </c>
      <c r="AE112" s="3">
        <f t="shared" si="82"/>
        <v>3</v>
      </c>
      <c r="AF112" s="3">
        <f t="shared" si="82"/>
        <v>4</v>
      </c>
      <c r="AG112" s="3">
        <f t="shared" si="82"/>
        <v>5</v>
      </c>
      <c r="AH112" s="3">
        <f t="shared" si="82"/>
        <v>6</v>
      </c>
      <c r="BA112" s="2" t="s">
        <v>66</v>
      </c>
    </row>
    <row r="113" spans="1:55" x14ac:dyDescent="0.45">
      <c r="A113" s="2" t="s">
        <v>67</v>
      </c>
      <c r="B113" s="67">
        <v>0.03</v>
      </c>
      <c r="C113" s="15" t="b">
        <f>AND(ISNUMBER(B113), B113&gt;0, B113&lt;1)</f>
        <v>1</v>
      </c>
      <c r="BA113" s="2" t="s">
        <v>67</v>
      </c>
      <c r="BB113" s="2">
        <v>0.03</v>
      </c>
      <c r="BC113" s="2" t="b">
        <f>AND(ISNUMBER(BB113), BB113&gt;0, BB113&lt;1)</f>
        <v>1</v>
      </c>
    </row>
    <row r="114" spans="1:55" x14ac:dyDescent="0.45">
      <c r="A114" s="2" t="s">
        <v>68</v>
      </c>
      <c r="B114" s="67">
        <v>0.08</v>
      </c>
      <c r="C114" s="15" t="b">
        <f>AND(ISNUMBER(B114), B114&gt;0, B114&lt;1)</f>
        <v>1</v>
      </c>
      <c r="AA114" s="2" t="s">
        <v>124</v>
      </c>
      <c r="AC114" s="10">
        <f ca="1">((AC15*(1-AC133))+AC11-(AC33-AB33+AC11)-((AC30-AC27-AC38)-(AB30-AB27-AB38))-(AC16*(1-AC133))+((AC39+AC37-AC27)-(AB39+AB37-AB27)))/AB120</f>
        <v>0.33795031608566972</v>
      </c>
      <c r="AD114" s="10">
        <f t="shared" ref="AD114:AG114" ca="1" si="83">((AD15*(1-AD133))+AD11-(AD33-AC33+AD11)-((AD30-AD27-AD38)-(AC30-AC27-AC38))-(AD16*(1-AD133))+((AD39+AD37-AD27)-(AC39+AC37-AC27)))/AC120</f>
        <v>0.880706669927247</v>
      </c>
      <c r="AE114" s="10">
        <f t="shared" ca="1" si="83"/>
        <v>0.57549722705539519</v>
      </c>
      <c r="AF114" s="10">
        <f t="shared" ca="1" si="83"/>
        <v>0.66807889256946706</v>
      </c>
      <c r="AG114" s="10">
        <f t="shared" ca="1" si="83"/>
        <v>0.72802819191602097</v>
      </c>
      <c r="AH114" s="10">
        <f ca="1">AG114*(1+AH116)</f>
        <v>0.75815944662658097</v>
      </c>
      <c r="AI114" s="10"/>
      <c r="BA114" s="2" t="s">
        <v>68</v>
      </c>
      <c r="BB114" s="2">
        <v>0.08</v>
      </c>
      <c r="BC114" s="2" t="b">
        <f>AND(ISNUMBER(BB114), BB114&gt;0, BB114&lt;1)</f>
        <v>1</v>
      </c>
    </row>
    <row r="115" spans="1:55" x14ac:dyDescent="0.45">
      <c r="A115" s="2" t="s">
        <v>69</v>
      </c>
      <c r="B115" s="67">
        <v>0.02</v>
      </c>
      <c r="C115" s="15" t="b">
        <f>AND(ISNUMBER(B115), B115&gt;0, B115&lt;1)</f>
        <v>1</v>
      </c>
      <c r="AA115" s="2" t="s">
        <v>101</v>
      </c>
      <c r="AG115" s="19">
        <f ca="1">AG107+$B$119</f>
        <v>0.10346870850997125</v>
      </c>
      <c r="BA115" s="2" t="s">
        <v>69</v>
      </c>
      <c r="BB115" s="2">
        <v>0.02</v>
      </c>
      <c r="BC115" s="2" t="b">
        <f>AND(ISNUMBER(BB115), BB115&gt;0, BB115&lt;1)</f>
        <v>1</v>
      </c>
    </row>
    <row r="116" spans="1:55" x14ac:dyDescent="0.45">
      <c r="AA116" s="2" t="s">
        <v>125</v>
      </c>
      <c r="AH116" s="77">
        <f ca="1">IF($B$140="Calculated",((1-$B$56)*AG115),$B$125)</f>
        <v>4.1387483403988505E-2</v>
      </c>
    </row>
    <row r="118" spans="1:55" x14ac:dyDescent="0.45">
      <c r="A118" s="84" t="s">
        <v>70</v>
      </c>
      <c r="B118" s="84"/>
      <c r="C118" s="84"/>
      <c r="D118" s="84"/>
      <c r="E118" s="84"/>
      <c r="F118" s="84"/>
      <c r="G118" s="84"/>
      <c r="Y118" s="10"/>
      <c r="AA118" s="2" t="s">
        <v>126</v>
      </c>
      <c r="AB118" s="65">
        <f ca="1">IFERROR((AC114+AC118)/(1+AB107),11.34)</f>
        <v>11.336966189500666</v>
      </c>
      <c r="AC118" s="65">
        <f ca="1">IFERROR((AD114+AD118)/(1+AC107),12.06)</f>
        <v>12.064690695228061</v>
      </c>
      <c r="AD118" s="65">
        <f ca="1">IFERROR((AE114+AE118)/(1+AD107),12.32)</f>
        <v>12.320090407465205</v>
      </c>
      <c r="AE118" s="65">
        <f ca="1">IFERROR((AF114+AF118)/(1+AE107),12.91)</f>
        <v>12.909455139256497</v>
      </c>
      <c r="AF118" s="65">
        <f ca="1">IFERROR((AG114+AG118)/(1+AF107),13.47)</f>
        <v>13.465771941601542</v>
      </c>
      <c r="AG118" s="79">
        <f ca="1">IF($B$139="P/E Ratio",(B124*(AG19/AF120)),(AH114/(AG107-$AH$116)))</f>
        <v>14.018902958296881</v>
      </c>
      <c r="BA118" s="2" t="s">
        <v>70</v>
      </c>
    </row>
    <row r="119" spans="1:55" x14ac:dyDescent="0.45">
      <c r="A119" s="2" t="s">
        <v>71</v>
      </c>
      <c r="B119" s="67">
        <v>8.0000000000000002E-3</v>
      </c>
      <c r="C119" s="15" t="b">
        <f>AND(ISNUMBER(B119), B119&gt;0, B119&lt;1)</f>
        <v>1</v>
      </c>
      <c r="AA119" s="2" t="s">
        <v>127</v>
      </c>
      <c r="AC119" s="70">
        <f ca="1">AC64/AC118</f>
        <v>6965.4085199137489</v>
      </c>
      <c r="AD119" s="70">
        <f ca="1">AD64/AD118</f>
        <v>-13785.255691920946</v>
      </c>
      <c r="AE119" s="70">
        <f t="shared" ref="AE119:AG119" ca="1" si="84">AE64/AE118</f>
        <v>2685.3892507785604</v>
      </c>
      <c r="AF119" s="70">
        <f t="shared" ca="1" si="84"/>
        <v>817.85785588032024</v>
      </c>
      <c r="AG119" s="70">
        <f t="shared" ca="1" si="84"/>
        <v>739.17910897334252</v>
      </c>
      <c r="BA119" s="2" t="s">
        <v>71</v>
      </c>
      <c r="BB119" s="2">
        <v>8.0000000000000002E-3</v>
      </c>
      <c r="BC119" s="2" t="b">
        <f>AND(ISNUMBER(BB119), BB119&gt;0, BB119&lt;1)</f>
        <v>1</v>
      </c>
    </row>
    <row r="120" spans="1:55" x14ac:dyDescent="0.45">
      <c r="AA120" s="2" t="s">
        <v>128</v>
      </c>
      <c r="AB120" s="66">
        <f>B47</f>
        <v>501400</v>
      </c>
      <c r="AC120" s="66">
        <f ca="1">AB120+AC119</f>
        <v>508365.40851991373</v>
      </c>
      <c r="AD120" s="66">
        <f t="shared" ref="AD120:AG120" ca="1" si="85">AC120+AD119</f>
        <v>494580.1528279928</v>
      </c>
      <c r="AE120" s="66">
        <f t="shared" ca="1" si="85"/>
        <v>497265.54207877134</v>
      </c>
      <c r="AF120" s="66">
        <f t="shared" ca="1" si="85"/>
        <v>498083.39993465168</v>
      </c>
      <c r="AG120" s="66">
        <f t="shared" ca="1" si="85"/>
        <v>498822.57904362504</v>
      </c>
    </row>
    <row r="121" spans="1:55" x14ac:dyDescent="0.45">
      <c r="AA121" s="2" t="s">
        <v>106</v>
      </c>
      <c r="AB121" s="9">
        <f ca="1">AB120*AB118</f>
        <v>5684354.8474156344</v>
      </c>
      <c r="AC121" s="9">
        <f ca="1">AC120*AC118</f>
        <v>6133271.4139460148</v>
      </c>
      <c r="AD121" s="9">
        <f t="shared" ref="AD121:AG121" ca="1" si="86">AD120*AD118</f>
        <v>6093272.1965788295</v>
      </c>
      <c r="AE121" s="9">
        <f t="shared" ca="1" si="86"/>
        <v>6419427.2077639624</v>
      </c>
      <c r="AF121" s="9">
        <f t="shared" ca="1" si="86"/>
        <v>6707077.4714175314</v>
      </c>
      <c r="AG121" s="9">
        <f t="shared" ca="1" si="86"/>
        <v>6992945.3290199544</v>
      </c>
    </row>
    <row r="122" spans="1:55" x14ac:dyDescent="0.45">
      <c r="A122" s="84" t="s">
        <v>144</v>
      </c>
      <c r="B122" s="84"/>
      <c r="C122" s="84"/>
      <c r="D122" s="84"/>
      <c r="E122" s="84"/>
      <c r="F122" s="84"/>
      <c r="G122" s="84"/>
      <c r="AA122" s="2" t="s">
        <v>107</v>
      </c>
      <c r="AB122" s="9">
        <f ca="1">AB121+AB40</f>
        <v>7661692.8474156344</v>
      </c>
      <c r="AC122" s="9">
        <f ca="1">AC121+AC40</f>
        <v>8318231.9243580019</v>
      </c>
      <c r="AD122" s="9">
        <f t="shared" ref="AD122:AG122" ca="1" si="87">AD121+AD40</f>
        <v>8395021.5573857836</v>
      </c>
      <c r="AE122" s="9">
        <f t="shared" ca="1" si="87"/>
        <v>8928334.0110435411</v>
      </c>
      <c r="AF122" s="9">
        <f t="shared" ca="1" si="87"/>
        <v>9416696.8189594783</v>
      </c>
      <c r="AG122" s="9">
        <f t="shared" ca="1" si="87"/>
        <v>9919334.2243652567</v>
      </c>
      <c r="BA122" s="2" t="s">
        <v>144</v>
      </c>
    </row>
    <row r="124" spans="1:55" x14ac:dyDescent="0.45">
      <c r="A124" s="2" t="s">
        <v>112</v>
      </c>
      <c r="B124" s="75">
        <v>17.02</v>
      </c>
      <c r="C124" s="15" t="b">
        <f>ISNUMBER(B124)</f>
        <v>1</v>
      </c>
      <c r="BA124" s="2" t="s">
        <v>112</v>
      </c>
      <c r="BB124" s="2">
        <v>17.02</v>
      </c>
      <c r="BC124" s="2" t="b">
        <f>ISNUMBER(BB124)</f>
        <v>1</v>
      </c>
    </row>
    <row r="125" spans="1:55" x14ac:dyDescent="0.45">
      <c r="A125" s="2" t="s">
        <v>154</v>
      </c>
      <c r="B125" s="67">
        <v>3.0099999999999998E-2</v>
      </c>
      <c r="C125" s="15" t="b">
        <f>AND(ISNUMBER(B125), B125&gt;0, B125&lt;1)</f>
        <v>1</v>
      </c>
      <c r="AE125" s="72"/>
      <c r="BA125" s="2" t="s">
        <v>154</v>
      </c>
      <c r="BB125" s="2">
        <v>3.0099999999999998E-2</v>
      </c>
      <c r="BC125" s="2" t="b">
        <f>AND(ISNUMBER(BB125), BB125&gt;0, BB125&lt;1)</f>
        <v>1</v>
      </c>
    </row>
    <row r="126" spans="1:55" x14ac:dyDescent="0.45">
      <c r="AA126" s="2" t="s">
        <v>129</v>
      </c>
    </row>
    <row r="127" spans="1:55" x14ac:dyDescent="0.45">
      <c r="AA127" s="2" t="s">
        <v>124</v>
      </c>
    </row>
    <row r="128" spans="1:55" x14ac:dyDescent="0.45">
      <c r="A128" s="84" t="s">
        <v>72</v>
      </c>
      <c r="B128" s="84"/>
      <c r="C128" s="84"/>
      <c r="D128" s="84"/>
      <c r="E128" s="84"/>
      <c r="F128" s="84"/>
      <c r="G128" s="84"/>
      <c r="BA128" s="2" t="s">
        <v>72</v>
      </c>
    </row>
    <row r="129" spans="1:54" x14ac:dyDescent="0.45">
      <c r="AA129" s="2" t="s">
        <v>131</v>
      </c>
    </row>
    <row r="130" spans="1:54" x14ac:dyDescent="0.45">
      <c r="A130" s="2" t="s">
        <v>73</v>
      </c>
      <c r="B130" s="83" t="s">
        <v>129</v>
      </c>
      <c r="C130" s="83"/>
      <c r="AA130" s="2" t="s">
        <v>132</v>
      </c>
      <c r="BA130" s="2" t="s">
        <v>73</v>
      </c>
      <c r="BB130" s="2" t="s">
        <v>129</v>
      </c>
    </row>
    <row r="131" spans="1:54" x14ac:dyDescent="0.45">
      <c r="B131" s="71"/>
    </row>
    <row r="132" spans="1:54" x14ac:dyDescent="0.45">
      <c r="A132" s="18" t="s">
        <v>133</v>
      </c>
      <c r="B132" s="18" t="s">
        <v>130</v>
      </c>
      <c r="BA132" s="2" t="s">
        <v>133</v>
      </c>
      <c r="BB132" s="2" t="s">
        <v>130</v>
      </c>
    </row>
    <row r="133" spans="1:54" x14ac:dyDescent="0.45">
      <c r="A133" s="73" t="s">
        <v>146</v>
      </c>
      <c r="B133" s="20" t="s">
        <v>131</v>
      </c>
      <c r="AA133" s="73" t="s">
        <v>134</v>
      </c>
      <c r="AB133" s="74">
        <f>$B$55</f>
        <v>0.4</v>
      </c>
      <c r="AC133" s="74">
        <f>IF($B$138="No",$B$55,(AC18/AC17))</f>
        <v>0.4</v>
      </c>
      <c r="AD133" s="74">
        <f>IF($B$138="No",$B$55,(AD18/AD17))</f>
        <v>0.4</v>
      </c>
      <c r="AE133" s="74">
        <f>IF($B$138="No",$B$55,(AE18/AE17))</f>
        <v>0.4</v>
      </c>
      <c r="AF133" s="74">
        <f>IF($B$138="No",$B$55,(AF18/AF17))</f>
        <v>0.4</v>
      </c>
      <c r="AG133" s="74">
        <f>IF($B$138="No",$B$55,(AG18/AG17))</f>
        <v>0.4</v>
      </c>
      <c r="BA133" s="2" t="s">
        <v>146</v>
      </c>
      <c r="BB133" s="2" t="s">
        <v>131</v>
      </c>
    </row>
    <row r="134" spans="1:54" x14ac:dyDescent="0.45">
      <c r="A134" s="73" t="s">
        <v>147</v>
      </c>
      <c r="B134" s="20" t="s">
        <v>131</v>
      </c>
      <c r="BA134" s="2" t="s">
        <v>147</v>
      </c>
      <c r="BB134" s="2" t="s">
        <v>131</v>
      </c>
    </row>
    <row r="135" spans="1:54" x14ac:dyDescent="0.45">
      <c r="A135" s="2" t="s">
        <v>148</v>
      </c>
      <c r="B135" s="20" t="s">
        <v>132</v>
      </c>
      <c r="BA135" s="2" t="s">
        <v>148</v>
      </c>
      <c r="BB135" s="2" t="s">
        <v>132</v>
      </c>
    </row>
    <row r="136" spans="1:54" x14ac:dyDescent="0.45">
      <c r="A136" s="2" t="s">
        <v>149</v>
      </c>
      <c r="B136" s="20" t="s">
        <v>132</v>
      </c>
      <c r="AA136" s="2" t="s">
        <v>142</v>
      </c>
      <c r="BA136" s="2" t="s">
        <v>149</v>
      </c>
      <c r="BB136" s="2" t="s">
        <v>132</v>
      </c>
    </row>
    <row r="137" spans="1:54" x14ac:dyDescent="0.45">
      <c r="A137" s="2" t="s">
        <v>150</v>
      </c>
      <c r="B137" s="20" t="s">
        <v>132</v>
      </c>
      <c r="AA137" s="2" t="s">
        <v>143</v>
      </c>
      <c r="BA137" s="2" t="s">
        <v>150</v>
      </c>
      <c r="BB137" s="2" t="s">
        <v>132</v>
      </c>
    </row>
    <row r="138" spans="1:54" x14ac:dyDescent="0.45">
      <c r="A138" s="2" t="s">
        <v>151</v>
      </c>
      <c r="B138" s="20" t="s">
        <v>132</v>
      </c>
      <c r="BA138" s="2" t="s">
        <v>151</v>
      </c>
      <c r="BB138" s="2" t="s">
        <v>132</v>
      </c>
    </row>
    <row r="139" spans="1:54" x14ac:dyDescent="0.45">
      <c r="A139" s="2" t="s">
        <v>152</v>
      </c>
      <c r="B139" s="80" t="s">
        <v>142</v>
      </c>
      <c r="AA139" s="2" t="s">
        <v>75</v>
      </c>
      <c r="BA139" s="2" t="s">
        <v>152</v>
      </c>
      <c r="BB139" s="2" t="s">
        <v>142</v>
      </c>
    </row>
    <row r="140" spans="1:54" x14ac:dyDescent="0.45">
      <c r="A140" s="2" t="s">
        <v>153</v>
      </c>
      <c r="B140" s="81" t="s">
        <v>75</v>
      </c>
      <c r="AA140" s="76" t="s">
        <v>145</v>
      </c>
      <c r="BA140" s="2" t="s">
        <v>153</v>
      </c>
      <c r="BB140" s="2" t="s">
        <v>75</v>
      </c>
    </row>
  </sheetData>
  <dataConsolidate/>
  <mergeCells count="30">
    <mergeCell ref="A122:G122"/>
    <mergeCell ref="B67:F67"/>
    <mergeCell ref="B66:F66"/>
    <mergeCell ref="AO3:AV3"/>
    <mergeCell ref="AA98:AH98"/>
    <mergeCell ref="AA96:AH96"/>
    <mergeCell ref="AA110:AH110"/>
    <mergeCell ref="AA4:AH4"/>
    <mergeCell ref="AA81:AH81"/>
    <mergeCell ref="AA1:AH1"/>
    <mergeCell ref="AA23:AH23"/>
    <mergeCell ref="AA46:AH46"/>
    <mergeCell ref="AA67:AH67"/>
    <mergeCell ref="AA69:AH69"/>
    <mergeCell ref="A1:G1"/>
    <mergeCell ref="B3:G3"/>
    <mergeCell ref="A7:G7"/>
    <mergeCell ref="A9:G9"/>
    <mergeCell ref="B130:C130"/>
    <mergeCell ref="A27:G27"/>
    <mergeCell ref="A49:G49"/>
    <mergeCell ref="A53:G53"/>
    <mergeCell ref="A79:G79"/>
    <mergeCell ref="A88:G88"/>
    <mergeCell ref="A97:G97"/>
    <mergeCell ref="A105:G105"/>
    <mergeCell ref="A112:G112"/>
    <mergeCell ref="A118:G118"/>
    <mergeCell ref="A128:G128"/>
    <mergeCell ref="D68:E68"/>
  </mergeCells>
  <conditionalFormatting sqref="B23">
    <cfRule type="cellIs" dxfId="23" priority="30" operator="greaterThan">
      <formula>$B$22</formula>
    </cfRule>
  </conditionalFormatting>
  <conditionalFormatting sqref="B90">
    <cfRule type="cellIs" dxfId="22" priority="29" operator="greaterThan">
      <formula>$B$91</formula>
    </cfRule>
  </conditionalFormatting>
  <conditionalFormatting sqref="C10">
    <cfRule type="cellIs" dxfId="21" priority="28" operator="equal">
      <formula>FALSE</formula>
    </cfRule>
  </conditionalFormatting>
  <conditionalFormatting sqref="C10:C11 C13:C17 C19 C21 C23 C28:C30 C33:C34 C37:C38 C40 C43 C47 C51:G51 C54:C56 C80:C85 D90:D94 A90:A94 C98:C102 C106:C109 C113:C115 C119">
    <cfRule type="cellIs" dxfId="20" priority="27" operator="equal">
      <formula>FALSE</formula>
    </cfRule>
  </conditionalFormatting>
  <conditionalFormatting sqref="B10:B11 B13:B17 B19 B21 B23">
    <cfRule type="cellIs" dxfId="19" priority="26" operator="lessThan">
      <formula>0</formula>
    </cfRule>
  </conditionalFormatting>
  <conditionalFormatting sqref="B28:B30 B33:B34 B37:B38 B40 B43 B47">
    <cfRule type="cellIs" dxfId="18" priority="25" operator="lessThan">
      <formula>0</formula>
    </cfRule>
  </conditionalFormatting>
  <conditionalFormatting sqref="C50:G50 B54:B56 B80:B85 B90:C94 B98:B102 B113:B115 B119">
    <cfRule type="cellIs" dxfId="17" priority="24" operator="lessThan">
      <formula>0</formula>
    </cfRule>
  </conditionalFormatting>
  <conditionalFormatting sqref="B133:B138">
    <cfRule type="cellIs" dxfId="16" priority="23" operator="lessThan">
      <formula>0</formula>
    </cfRule>
  </conditionalFormatting>
  <conditionalFormatting sqref="B60">
    <cfRule type="cellIs" dxfId="15" priority="21" operator="greaterThan">
      <formula>$B$91</formula>
    </cfRule>
  </conditionalFormatting>
  <conditionalFormatting sqref="D60:D64 A60:A64">
    <cfRule type="cellIs" dxfId="14" priority="20" operator="equal">
      <formula>FALSE</formula>
    </cfRule>
  </conditionalFormatting>
  <conditionalFormatting sqref="B60:C64">
    <cfRule type="cellIs" dxfId="13" priority="19" operator="lessThan">
      <formula>0</formula>
    </cfRule>
  </conditionalFormatting>
  <conditionalFormatting sqref="A69:A76">
    <cfRule type="cellIs" dxfId="12" priority="17" operator="equal">
      <formula>FALSE</formula>
    </cfRule>
  </conditionalFormatting>
  <conditionalFormatting sqref="B69:C76">
    <cfRule type="cellIs" dxfId="11" priority="14" operator="lessThan">
      <formula>0</formula>
    </cfRule>
  </conditionalFormatting>
  <conditionalFormatting sqref="D69:D76">
    <cfRule type="cellIs" dxfId="10" priority="13" operator="lessThan">
      <formula>0</formula>
    </cfRule>
  </conditionalFormatting>
  <conditionalFormatting sqref="E69:E76">
    <cfRule type="cellIs" dxfId="9" priority="7" operator="greaterThan">
      <formula>1</formula>
    </cfRule>
    <cfRule type="cellIs" dxfId="8" priority="12" operator="lessThan">
      <formula>0</formula>
    </cfRule>
  </conditionalFormatting>
  <conditionalFormatting sqref="F69:F76">
    <cfRule type="cellIs" dxfId="7" priority="11" operator="lessThan">
      <formula>0</formula>
    </cfRule>
  </conditionalFormatting>
  <conditionalFormatting sqref="I69">
    <cfRule type="cellIs" dxfId="6" priority="10" operator="lessThan">
      <formula>0</formula>
    </cfRule>
  </conditionalFormatting>
  <conditionalFormatting sqref="I66">
    <cfRule type="cellIs" dxfId="5" priority="9" operator="lessThan">
      <formula>0</formula>
    </cfRule>
  </conditionalFormatting>
  <conditionalFormatting sqref="G69:G76">
    <cfRule type="cellIs" dxfId="4" priority="8" operator="equal">
      <formula>FALSE</formula>
    </cfRule>
  </conditionalFormatting>
  <conditionalFormatting sqref="B124">
    <cfRule type="cellIs" dxfId="3" priority="6" operator="lessThan">
      <formula>0</formula>
    </cfRule>
  </conditionalFormatting>
  <conditionalFormatting sqref="C124">
    <cfRule type="cellIs" dxfId="2" priority="5" operator="equal">
      <formula>FALSE</formula>
    </cfRule>
  </conditionalFormatting>
  <conditionalFormatting sqref="B125">
    <cfRule type="cellIs" dxfId="1" priority="2" operator="lessThan">
      <formula>0</formula>
    </cfRule>
  </conditionalFormatting>
  <conditionalFormatting sqref="C125">
    <cfRule type="cellIs" dxfId="0" priority="1" operator="equal">
      <formula>FALSE</formula>
    </cfRule>
  </conditionalFormatting>
  <dataValidations count="12">
    <dataValidation type="list" allowBlank="1" showInputMessage="1" showErrorMessage="1" sqref="B130:C130">
      <formula1>$AA$126:$AA$127</formula1>
    </dataValidation>
    <dataValidation type="custom" allowBlank="1" showInputMessage="1" showErrorMessage="1" errorTitle="Error" error="Dividends cannot be larger than Net Income. " sqref="B23">
      <formula1>"If(B23&gt;B22)"</formula1>
    </dataValidation>
    <dataValidation type="custom" allowBlank="1" showInputMessage="1" showErrorMessage="1" errorTitle="Fixed Assets Schedule" error="Please ensure that the lower limit of the Sales range does not exceed the upper limit which is defined in the next cell. " sqref="B90">
      <formula1>"IF(B70&gt;B71)"</formula1>
    </dataValidation>
    <dataValidation type="custom" allowBlank="1" showInputMessage="1" showErrorMessage="1" errorTitle="Fixed Assets Schedule" error="Please ensure that the lower limit of the Sales range does not exceed the upper limit which is defined in the next cell. " sqref="B91">
      <formula1>"IF(B71&gt;B72)"</formula1>
    </dataValidation>
    <dataValidation type="custom" allowBlank="1" showInputMessage="1" showErrorMessage="1" errorTitle="Fixed Assets Schedule" error="Please ensure that the lower limit of the Sales range does not exceed the upper limit which is defined in the next cell. " sqref="B92">
      <formula1>"IF(B72&gt;B73)"</formula1>
    </dataValidation>
    <dataValidation type="custom" allowBlank="1" showInputMessage="1" showErrorMessage="1" errorTitle="Fixed Assets Schedule" error="Please ensure that the lower limit of the Sales range does not exceed the upper limit which is defined in the next cell. " sqref="B93">
      <formula1>"IF(B73&gt;B74)"</formula1>
    </dataValidation>
    <dataValidation type="custom" allowBlank="1" showInputMessage="1" showErrorMessage="1" errorTitle="Interst Rates" error="Please ensure that the Expected Risk-free Rate of Return is less than Market Risk Premium!" sqref="B99">
      <formula1>"IF(B79&gt;B80)"</formula1>
    </dataValidation>
    <dataValidation type="custom" allowBlank="1" showInputMessage="1" showErrorMessage="1" errorTitle="Interest Rates" error="Please ensure that the Risk Premium For Short term Debt is less than Market Risk Premium!" sqref="B101">
      <formula1>"IF(B81&gt;B80)"</formula1>
    </dataValidation>
    <dataValidation type="custom" allowBlank="1" showInputMessage="1" showErrorMessage="1" errorTitle="Interest Rates" error="Please ensure that the Convenience Fees on Cash and Marketable Securities Account is less than the Expected Risk-free Rate of Return!" sqref="B102">
      <formula1>"IF(B82&gt;B79)"</formula1>
    </dataValidation>
    <dataValidation type="list" allowBlank="1" showInputMessage="1" showErrorMessage="1" sqref="B133:B138">
      <formula1>$AA$129:$AA$130</formula1>
    </dataValidation>
    <dataValidation type="list" allowBlank="1" showInputMessage="1" showErrorMessage="1" sqref="B139">
      <formula1>$AA$136:$AA$137</formula1>
    </dataValidation>
    <dataValidation type="list" allowBlank="1" showInputMessage="1" showErrorMessage="1" sqref="B140">
      <formula1>$AA$139:$AA$140</formula1>
    </dataValidation>
  </dataValidations>
  <pageMargins left="0.7" right="0.7" top="0.75" bottom="0.75" header="0.3" footer="0.3"/>
  <pageSetup orientation="portrait" r:id="rId1"/>
  <ignoredErrors>
    <ignoredError sqref="AB34" formula="1"/>
  </ignoredErrors>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User Guide</vt:lpstr>
      <vt:lpstr>Forecasting Model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2024-05-04T23:44:24Z</dcterms:modified>
</cp:coreProperties>
</file>