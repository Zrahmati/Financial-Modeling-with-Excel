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rahma\Desktop\Spring 2024\BUS ADM 853 - Financial Modeling\Assignments\3\"/>
    </mc:Choice>
  </mc:AlternateContent>
  <bookViews>
    <workbookView xWindow="0" yWindow="0" windowWidth="21600" windowHeight="10245" tabRatio="871"/>
  </bookViews>
  <sheets>
    <sheet name="Part(a)" sheetId="41" r:id="rId1"/>
    <sheet name="Part (b)" sheetId="42" r:id="rId2"/>
    <sheet name="Part (c)" sheetId="43" r:id="rId3"/>
    <sheet name="Part(d)" sheetId="44" r:id="rId4"/>
    <sheet name="VBA option functions" sheetId="6" state="veryHidden" r:id=""/>
  </sheets>
  <functionGroups builtInGroupCount="18"/>
  <calcPr calcId="152511"/>
</workbook>
</file>

<file path=xl/calcChain.xml><?xml version="1.0" encoding="utf-8"?>
<calcChain xmlns="http://schemas.openxmlformats.org/spreadsheetml/2006/main">
  <c r="B10" i="44" l="1" a="1"/>
  <c r="B9" i="44" a="1"/>
  <c r="B9" i="44" l="1"/>
  <c r="B10" i="44"/>
  <c r="B40" i="41"/>
  <c r="A23" i="41" l="1"/>
  <c r="C22" i="41" s="1"/>
  <c r="F8" i="41"/>
  <c r="F9" i="41"/>
  <c r="C24" i="41" l="1"/>
  <c r="E25" i="41" s="1"/>
  <c r="G26" i="41" s="1"/>
  <c r="G37" i="41" s="1"/>
  <c r="E23" i="41"/>
  <c r="E21" i="41"/>
  <c r="G20" i="41" s="1"/>
  <c r="G31" i="41" s="1"/>
  <c r="A19" i="42"/>
  <c r="C20" i="42" s="1"/>
  <c r="E9" i="42"/>
  <c r="E8" i="42"/>
  <c r="B34" i="42" a="1"/>
  <c r="C18" i="42" l="1"/>
  <c r="E21" i="42"/>
  <c r="G24" i="41"/>
  <c r="G35" i="41" s="1"/>
  <c r="E36" i="41" s="1"/>
  <c r="G22" i="41"/>
  <c r="G33" i="41" s="1"/>
  <c r="B34" i="42"/>
  <c r="E19" i="42" l="1"/>
  <c r="G20" i="42" s="1"/>
  <c r="G31" i="42" s="1"/>
  <c r="E17" i="42"/>
  <c r="G22" i="42"/>
  <c r="G33" i="42" s="1"/>
  <c r="E32" i="42" s="1"/>
  <c r="E34" i="41"/>
  <c r="C35" i="41" s="1"/>
  <c r="E32" i="41"/>
  <c r="C33" i="41" s="1"/>
  <c r="A34" i="41" s="1"/>
  <c r="G18" i="42" l="1"/>
  <c r="G29" i="42" s="1"/>
  <c r="E30" i="42" s="1"/>
  <c r="G16" i="42"/>
  <c r="G27" i="42" s="1"/>
  <c r="E28" i="42" s="1"/>
  <c r="C31" i="42"/>
  <c r="C29" i="42" l="1"/>
  <c r="A30" i="42" s="1"/>
</calcChain>
</file>

<file path=xl/sharedStrings.xml><?xml version="1.0" encoding="utf-8"?>
<sst xmlns="http://schemas.openxmlformats.org/spreadsheetml/2006/main" count="53" uniqueCount="23">
  <si>
    <t>Stock price</t>
  </si>
  <si>
    <t>State prices</t>
  </si>
  <si>
    <t>Up, U</t>
  </si>
  <si>
    <t>Down, D</t>
  </si>
  <si>
    <t>Interest rate, R</t>
  </si>
  <si>
    <t>Initial stock price, S</t>
  </si>
  <si>
    <t>Option exercise price, X</t>
  </si>
  <si>
    <t>Date 0</t>
  </si>
  <si>
    <t>Date 1</t>
  </si>
  <si>
    <t>Date 2</t>
  </si>
  <si>
    <t>Date 3</t>
  </si>
  <si>
    <t>Number of periods, n</t>
  </si>
  <si>
    <t>American put option</t>
  </si>
  <si>
    <t>(a) If S0=50, U=1.1, D=0.97, R=1.06. What is the price of a European put option with an exercise price of 50 based on the Binomial model? (Check the slides around slide 15 in lecture 7. The example has 5 dates (t0-t4)) (2pts) ==&gt; Period from t0 to t3</t>
  </si>
  <si>
    <t>(b) If S0=50, U=1.1, D=0.97, R=1.06. What is the price of an American put option with an exercise price of 50 based on the Binomial model? (slides after 19) (2pts) ==&gt; Period from t0 to t3,</t>
  </si>
  <si>
    <t>(c) If S0=50, U=1.1, D=1, R=1.06. What is the price of a European put option with an exercise price of 50 based on the Binomial model? What about American put? (hint: you don't necessarily need to do calculations, but you will need to tell me the reason) (2pts)</t>
  </si>
  <si>
    <t>VBA FUNCTIONS FOR American and European PUTS</t>
  </si>
  <si>
    <t>European Put price</t>
  </si>
  <si>
    <r>
      <t>q</t>
    </r>
    <r>
      <rPr>
        <vertAlign val="subscript"/>
        <sz val="10"/>
        <color theme="0"/>
        <rFont val="Arial"/>
        <family val="2"/>
      </rPr>
      <t>U</t>
    </r>
  </si>
  <si>
    <r>
      <t>q</t>
    </r>
    <r>
      <rPr>
        <vertAlign val="subscript"/>
        <sz val="10"/>
        <color theme="0"/>
        <rFont val="Arial"/>
        <family val="2"/>
      </rPr>
      <t>D</t>
    </r>
  </si>
  <si>
    <t>Binomial American Put VBA Test</t>
  </si>
  <si>
    <t>Binomial European Put VBA Test</t>
  </si>
  <si>
    <t>(c) Based on these assumptions, both of the American and European put options will be worthless. Because, The binomial model assumes that the stock price can move either up (u) or down (d) during each time period. In this case, the upper binomial growth factor (u) is 1.1, meaning the stock price can increase by 10%, while the lower binomial decline factor (d) is 1, indicating no change in price. Given these factors and given that the put option is profitable for the holder in dereasing prices, there's no scenario where the stock price would decrease below the exercise price to make exercising the put option profitable.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</si>
</sst>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6" formatCode="0&quot;E&quot;"/>
  </numFmts>
  <fonts count="11" x14ac:knownFonts="1">
    <font>
      <sz val="10"/>
      <name val="Arial"/>
    </font>
    <font>
      <sz val="11"/>
      <color theme="1"/>
      <name val="Calibri"/>
      <family val="2"/>
      <scheme val="minor"/>
    </font>
    <font>
      <b/>
      <sz val="10"/>
      <name val="Arial"/>
      <family val="2"/>
    </font>
    <font>
      <sz val="10"/>
      <name val="Arial"/>
      <family val="2"/>
    </font>
    <font>
      <sz val="12"/>
      <name val="Arial"/>
      <family val="2"/>
    </font>
    <font>
      <sz val="12"/>
      <color theme="1"/>
      <name val="Arial"/>
      <family val="2"/>
    </font>
    <font>
      <sz val="10"/>
      <name val="Arial"/>
      <family val="2"/>
    </font>
    <font>
      <b/>
      <sz val="12"/>
      <color theme="0"/>
      <name val="Calibri"/>
      <family val="2"/>
      <scheme val="minor"/>
    </font>
    <font>
      <sz val="12"/>
      <color theme="0"/>
      <name val="Calibri"/>
      <family val="2"/>
      <scheme val="minor"/>
    </font>
    <font>
      <vertAlign val="subscript"/>
      <sz val="10"/>
      <color theme="0"/>
      <name val="Arial"/>
      <family val="2"/>
    </font>
    <font>
      <b/>
      <sz val="16"/>
      <color theme="0"/>
      <name val="Calibri"/>
      <family val="2"/>
      <scheme val="minor"/>
    </font>
  </fonts>
  <fills count="5">
    <fill>
      <patternFill patternType="none"/>
    </fill>
    <fill>
      <patternFill patternType="gray125"/>
    </fill>
    <fill>
      <patternFill patternType="solid">
        <fgColor rgb="FF132E57"/>
        <bgColor indexed="64"/>
      </patternFill>
    </fill>
    <fill>
      <patternFill patternType="solid">
        <fgColor rgb="FF1E8496"/>
        <bgColor indexed="64"/>
      </patternFill>
    </fill>
    <fill>
      <patternFill patternType="solid">
        <fgColor rgb="FFED942D"/>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s>
  <cellStyleXfs count="4">
    <xf numFmtId="0" fontId="0" fillId="0" borderId="0"/>
    <xf numFmtId="0" fontId="3" fillId="0" borderId="0"/>
    <xf numFmtId="0" fontId="1" fillId="0" borderId="0"/>
    <xf numFmtId="9" fontId="6" fillId="0" borderId="0" applyFont="0" applyFill="0" applyBorder="0" applyAlignment="0" applyProtection="0"/>
  </cellStyleXfs>
  <cellXfs count="59">
    <xf numFmtId="0" fontId="0" fillId="0" borderId="0" xfId="0"/>
    <xf numFmtId="0" fontId="3" fillId="0" borderId="0" xfId="1"/>
    <xf numFmtId="4" fontId="3" fillId="0" borderId="0" xfId="1" applyNumberFormat="1"/>
    <xf numFmtId="0" fontId="3" fillId="0" borderId="0" xfId="1" applyAlignment="1">
      <alignment horizontal="left"/>
    </xf>
    <xf numFmtId="164" fontId="3" fillId="0" borderId="0" xfId="1" applyNumberFormat="1"/>
    <xf numFmtId="164" fontId="3" fillId="0" borderId="0" xfId="1" applyNumberFormat="1" applyAlignment="1">
      <alignment horizontal="center"/>
    </xf>
    <xf numFmtId="2" fontId="3" fillId="0" borderId="0" xfId="1" applyNumberFormat="1"/>
    <xf numFmtId="164" fontId="3" fillId="0" borderId="0" xfId="1" quotePrefix="1" applyNumberFormat="1"/>
    <xf numFmtId="164" fontId="3" fillId="0" borderId="0" xfId="1" applyNumberFormat="1" applyAlignment="1">
      <alignment horizontal="left"/>
    </xf>
    <xf numFmtId="164" fontId="2" fillId="0" borderId="0" xfId="1" applyNumberFormat="1" applyFont="1"/>
    <xf numFmtId="164" fontId="3" fillId="0" borderId="0" xfId="1" applyNumberFormat="1" applyAlignment="1">
      <alignment horizontal="right"/>
    </xf>
    <xf numFmtId="0" fontId="1" fillId="0" borderId="0" xfId="2" applyAlignment="1">
      <alignment vertical="center"/>
    </xf>
    <xf numFmtId="0" fontId="3" fillId="0" borderId="0" xfId="1" applyAlignment="1">
      <alignment vertical="center"/>
    </xf>
    <xf numFmtId="4" fontId="3" fillId="0" borderId="0" xfId="1" applyNumberFormat="1" applyAlignment="1">
      <alignment vertical="center"/>
    </xf>
    <xf numFmtId="0" fontId="3" fillId="0" borderId="0" xfId="1" applyAlignment="1">
      <alignment horizontal="left" vertical="center"/>
    </xf>
    <xf numFmtId="164" fontId="3" fillId="0" borderId="0" xfId="1" applyNumberFormat="1" applyAlignment="1">
      <alignment vertical="center"/>
    </xf>
    <xf numFmtId="164" fontId="3" fillId="0" borderId="0" xfId="1" applyNumberFormat="1" applyAlignment="1">
      <alignment horizontal="center" vertical="center"/>
    </xf>
    <xf numFmtId="2" fontId="3" fillId="0" borderId="0" xfId="1" applyNumberFormat="1" applyAlignment="1">
      <alignment horizontal="center" vertical="center"/>
    </xf>
    <xf numFmtId="0" fontId="3" fillId="0" borderId="0" xfId="1" quotePrefix="1" applyAlignment="1">
      <alignment horizontal="left" vertical="center"/>
    </xf>
    <xf numFmtId="0" fontId="3" fillId="0" borderId="0" xfId="1" quotePrefix="1" applyAlignment="1">
      <alignment horizontal="center" vertical="center"/>
    </xf>
    <xf numFmtId="0" fontId="3" fillId="0" borderId="0" xfId="1" quotePrefix="1" applyAlignment="1">
      <alignment vertical="center"/>
    </xf>
    <xf numFmtId="2" fontId="3" fillId="0" borderId="0" xfId="1" applyNumberFormat="1" applyAlignment="1"/>
    <xf numFmtId="0" fontId="4" fillId="0" borderId="1" xfId="1" applyFont="1" applyBorder="1" applyAlignment="1">
      <alignment horizontal="left" vertical="center" wrapText="1"/>
    </xf>
    <xf numFmtId="0" fontId="4" fillId="0" borderId="2" xfId="1" applyFont="1" applyBorder="1" applyAlignment="1">
      <alignment horizontal="left" vertical="center" wrapText="1"/>
    </xf>
    <xf numFmtId="0" fontId="4" fillId="0" borderId="3" xfId="1" applyFont="1" applyBorder="1" applyAlignment="1">
      <alignment horizontal="left" vertical="center" wrapText="1"/>
    </xf>
    <xf numFmtId="0" fontId="4" fillId="0" borderId="4" xfId="1" applyFont="1" applyBorder="1" applyAlignment="1">
      <alignment horizontal="left" vertical="center" wrapText="1"/>
    </xf>
    <xf numFmtId="0" fontId="4" fillId="0" borderId="0" xfId="1" applyFont="1" applyBorder="1" applyAlignment="1">
      <alignment horizontal="left" vertical="center" wrapText="1"/>
    </xf>
    <xf numFmtId="0" fontId="4" fillId="0" borderId="5" xfId="1" applyFont="1" applyBorder="1" applyAlignment="1">
      <alignment horizontal="left" vertical="center" wrapText="1"/>
    </xf>
    <xf numFmtId="0" fontId="4" fillId="0" borderId="6" xfId="1" applyFont="1" applyBorder="1" applyAlignment="1">
      <alignment horizontal="left" vertical="center" wrapText="1"/>
    </xf>
    <xf numFmtId="0" fontId="4" fillId="0" borderId="7" xfId="1" applyFont="1" applyBorder="1" applyAlignment="1">
      <alignment horizontal="left" vertical="center" wrapText="1"/>
    </xf>
    <xf numFmtId="0" fontId="4" fillId="0" borderId="8" xfId="1" applyFont="1" applyBorder="1" applyAlignment="1">
      <alignment horizontal="left" vertical="center" wrapText="1"/>
    </xf>
    <xf numFmtId="0" fontId="5" fillId="0" borderId="1" xfId="2" applyFont="1" applyBorder="1" applyAlignment="1">
      <alignment horizontal="left" vertical="center" wrapText="1"/>
    </xf>
    <xf numFmtId="0" fontId="5" fillId="0" borderId="2" xfId="2" applyFont="1" applyBorder="1" applyAlignment="1">
      <alignment horizontal="left" vertical="center" wrapText="1"/>
    </xf>
    <xf numFmtId="0" fontId="5" fillId="0" borderId="3" xfId="2" applyFont="1" applyBorder="1" applyAlignment="1">
      <alignment horizontal="left" vertical="center" wrapText="1"/>
    </xf>
    <xf numFmtId="0" fontId="5" fillId="0" borderId="4" xfId="2" applyFont="1" applyBorder="1" applyAlignment="1">
      <alignment horizontal="left" vertical="center" wrapText="1"/>
    </xf>
    <xf numFmtId="0" fontId="5" fillId="0" borderId="0" xfId="2" applyFont="1" applyBorder="1" applyAlignment="1">
      <alignment horizontal="left" vertical="center" wrapText="1"/>
    </xf>
    <xf numFmtId="0" fontId="5" fillId="0" borderId="5" xfId="2" applyFont="1" applyBorder="1" applyAlignment="1">
      <alignment horizontal="left" vertical="center" wrapText="1"/>
    </xf>
    <xf numFmtId="0" fontId="5" fillId="0" borderId="6" xfId="2" applyFont="1" applyBorder="1" applyAlignment="1">
      <alignment horizontal="left" vertical="center" wrapText="1"/>
    </xf>
    <xf numFmtId="0" fontId="5" fillId="0" borderId="7" xfId="2" applyFont="1" applyBorder="1" applyAlignment="1">
      <alignment horizontal="left" vertical="center" wrapText="1"/>
    </xf>
    <xf numFmtId="0" fontId="5" fillId="0" borderId="8" xfId="2" applyFont="1" applyBorder="1" applyAlignment="1">
      <alignment horizontal="left" vertical="center" wrapText="1"/>
    </xf>
    <xf numFmtId="0" fontId="4" fillId="0" borderId="1" xfId="0" applyFont="1" applyBorder="1" applyAlignment="1">
      <alignment horizontal="left" vertical="center" wrapText="1"/>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4" xfId="0" applyFont="1" applyBorder="1" applyAlignment="1">
      <alignment horizontal="left" vertical="center" wrapText="1"/>
    </xf>
    <xf numFmtId="0" fontId="4" fillId="0" borderId="0" xfId="0" applyFont="1" applyBorder="1" applyAlignment="1">
      <alignment horizontal="left" vertical="center" wrapText="1"/>
    </xf>
    <xf numFmtId="0" fontId="4"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10" fontId="8" fillId="3" borderId="0" xfId="3" applyNumberFormat="1" applyFont="1" applyFill="1" applyAlignment="1">
      <alignment horizontal="right" vertical="center"/>
    </xf>
    <xf numFmtId="166" fontId="7" fillId="2" borderId="9" xfId="0" applyNumberFormat="1" applyFont="1" applyFill="1" applyBorder="1" applyAlignment="1">
      <alignment horizontal="right" vertical="center"/>
    </xf>
    <xf numFmtId="164" fontId="7" fillId="4" borderId="10" xfId="3" applyNumberFormat="1" applyFont="1" applyFill="1" applyBorder="1" applyAlignment="1">
      <alignment vertical="center" wrapText="1"/>
    </xf>
    <xf numFmtId="10" fontId="7" fillId="3" borderId="0" xfId="3" applyNumberFormat="1" applyFont="1" applyFill="1" applyAlignment="1">
      <alignment horizontal="center" vertical="center"/>
    </xf>
    <xf numFmtId="3" fontId="3" fillId="0" borderId="0" xfId="1" applyNumberFormat="1" applyAlignment="1">
      <alignment vertical="center"/>
    </xf>
    <xf numFmtId="10" fontId="8" fillId="3" borderId="0" xfId="3" applyNumberFormat="1" applyFont="1" applyFill="1" applyAlignment="1">
      <alignment horizontal="center" vertical="center"/>
    </xf>
    <xf numFmtId="166" fontId="7" fillId="2" borderId="9" xfId="0" applyNumberFormat="1" applyFont="1" applyFill="1" applyBorder="1" applyAlignment="1">
      <alignment horizontal="center" vertical="center"/>
    </xf>
    <xf numFmtId="166" fontId="7" fillId="2" borderId="11" xfId="0" applyNumberFormat="1" applyFont="1" applyFill="1" applyBorder="1" applyAlignment="1">
      <alignment horizontal="center" vertical="center"/>
    </xf>
    <xf numFmtId="166" fontId="10" fillId="2" borderId="11" xfId="0" applyNumberFormat="1" applyFont="1" applyFill="1" applyBorder="1" applyAlignment="1">
      <alignment horizontal="center" vertical="center"/>
    </xf>
    <xf numFmtId="166" fontId="10" fillId="2" borderId="9" xfId="0" applyNumberFormat="1" applyFont="1" applyFill="1" applyBorder="1" applyAlignment="1">
      <alignment horizontal="center" vertical="center"/>
    </xf>
  </cellXfs>
  <cellStyles count="4">
    <cellStyle name="Normal" xfId="0" builtinId="0"/>
    <cellStyle name="Normal 2" xfId="1"/>
    <cellStyle name="Normal 3" xfId="2"/>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21</xdr:row>
      <xdr:rowOff>76200</xdr:rowOff>
    </xdr:from>
    <xdr:to>
      <xdr:col>2</xdr:col>
      <xdr:colOff>0</xdr:colOff>
      <xdr:row>22</xdr:row>
      <xdr:rowOff>91440</xdr:rowOff>
    </xdr:to>
    <xdr:sp macro="" textlink="">
      <xdr:nvSpPr>
        <xdr:cNvPr id="2" name="Line 1">
          <a:extLst>
            <a:ext uri="{FF2B5EF4-FFF2-40B4-BE49-F238E27FC236}">
              <a16:creationId xmlns="" xmlns:a16="http://schemas.microsoft.com/office/drawing/2014/main" id="{B48B04B6-C627-47BA-9D0F-BDBB31296D2B}"/>
            </a:ext>
          </a:extLst>
        </xdr:cNvPr>
        <xdr:cNvSpPr>
          <a:spLocks noChangeShapeType="1"/>
        </xdr:cNvSpPr>
      </xdr:nvSpPr>
      <xdr:spPr bwMode="auto">
        <a:xfrm flipV="1">
          <a:off x="1071563" y="3381375"/>
          <a:ext cx="633412" cy="17716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22</xdr:row>
      <xdr:rowOff>99060</xdr:rowOff>
    </xdr:from>
    <xdr:to>
      <xdr:col>2</xdr:col>
      <xdr:colOff>7620</xdr:colOff>
      <xdr:row>23</xdr:row>
      <xdr:rowOff>91440</xdr:rowOff>
    </xdr:to>
    <xdr:sp macro="" textlink="">
      <xdr:nvSpPr>
        <xdr:cNvPr id="3" name="Line 2">
          <a:extLst>
            <a:ext uri="{FF2B5EF4-FFF2-40B4-BE49-F238E27FC236}">
              <a16:creationId xmlns="" xmlns:a16="http://schemas.microsoft.com/office/drawing/2014/main" id="{11C74942-E6E3-45BD-A04A-8A2FFF410FD9}"/>
            </a:ext>
          </a:extLst>
        </xdr:cNvPr>
        <xdr:cNvSpPr>
          <a:spLocks noChangeShapeType="1"/>
        </xdr:cNvSpPr>
      </xdr:nvSpPr>
      <xdr:spPr bwMode="auto">
        <a:xfrm>
          <a:off x="1071563" y="3566160"/>
          <a:ext cx="641032" cy="15430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22</xdr:row>
      <xdr:rowOff>91440</xdr:rowOff>
    </xdr:from>
    <xdr:to>
      <xdr:col>4</xdr:col>
      <xdr:colOff>7620</xdr:colOff>
      <xdr:row>23</xdr:row>
      <xdr:rowOff>99060</xdr:rowOff>
    </xdr:to>
    <xdr:sp macro="" textlink="">
      <xdr:nvSpPr>
        <xdr:cNvPr id="4" name="Line 3">
          <a:extLst>
            <a:ext uri="{FF2B5EF4-FFF2-40B4-BE49-F238E27FC236}">
              <a16:creationId xmlns="" xmlns:a16="http://schemas.microsoft.com/office/drawing/2014/main" id="{90431144-86F6-4C71-91F8-AD48407BC195}"/>
            </a:ext>
          </a:extLst>
        </xdr:cNvPr>
        <xdr:cNvSpPr>
          <a:spLocks noChangeShapeType="1"/>
        </xdr:cNvSpPr>
      </xdr:nvSpPr>
      <xdr:spPr bwMode="auto">
        <a:xfrm flipV="1">
          <a:off x="2361248" y="3558540"/>
          <a:ext cx="637222" cy="1695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23</xdr:row>
      <xdr:rowOff>121920</xdr:rowOff>
    </xdr:from>
    <xdr:to>
      <xdr:col>4</xdr:col>
      <xdr:colOff>0</xdr:colOff>
      <xdr:row>24</xdr:row>
      <xdr:rowOff>106680</xdr:rowOff>
    </xdr:to>
    <xdr:sp macro="" textlink="">
      <xdr:nvSpPr>
        <xdr:cNvPr id="5" name="Line 4">
          <a:extLst>
            <a:ext uri="{FF2B5EF4-FFF2-40B4-BE49-F238E27FC236}">
              <a16:creationId xmlns="" xmlns:a16="http://schemas.microsoft.com/office/drawing/2014/main" id="{677B3467-74E9-45C6-BC13-35F4D4452EC5}"/>
            </a:ext>
          </a:extLst>
        </xdr:cNvPr>
        <xdr:cNvSpPr>
          <a:spLocks noChangeShapeType="1"/>
        </xdr:cNvSpPr>
      </xdr:nvSpPr>
      <xdr:spPr bwMode="auto">
        <a:xfrm>
          <a:off x="2361248" y="3750945"/>
          <a:ext cx="629602" cy="1466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21</xdr:row>
      <xdr:rowOff>76200</xdr:rowOff>
    </xdr:from>
    <xdr:to>
      <xdr:col>4</xdr:col>
      <xdr:colOff>7620</xdr:colOff>
      <xdr:row>22</xdr:row>
      <xdr:rowOff>76200</xdr:rowOff>
    </xdr:to>
    <xdr:sp macro="" textlink="">
      <xdr:nvSpPr>
        <xdr:cNvPr id="6" name="Line 5">
          <a:extLst>
            <a:ext uri="{FF2B5EF4-FFF2-40B4-BE49-F238E27FC236}">
              <a16:creationId xmlns="" xmlns:a16="http://schemas.microsoft.com/office/drawing/2014/main" id="{0C78A247-18BD-45AE-B5A2-D96090AAB4FA}"/>
            </a:ext>
          </a:extLst>
        </xdr:cNvPr>
        <xdr:cNvSpPr>
          <a:spLocks noChangeShapeType="1"/>
        </xdr:cNvSpPr>
      </xdr:nvSpPr>
      <xdr:spPr bwMode="auto">
        <a:xfrm>
          <a:off x="2338388" y="3381375"/>
          <a:ext cx="66008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20</xdr:row>
      <xdr:rowOff>68580</xdr:rowOff>
    </xdr:from>
    <xdr:to>
      <xdr:col>4</xdr:col>
      <xdr:colOff>7620</xdr:colOff>
      <xdr:row>21</xdr:row>
      <xdr:rowOff>68580</xdr:rowOff>
    </xdr:to>
    <xdr:sp macro="" textlink="">
      <xdr:nvSpPr>
        <xdr:cNvPr id="7" name="Line 6">
          <a:extLst>
            <a:ext uri="{FF2B5EF4-FFF2-40B4-BE49-F238E27FC236}">
              <a16:creationId xmlns="" xmlns:a16="http://schemas.microsoft.com/office/drawing/2014/main" id="{1867C12A-F31C-4381-91B1-2B232DCFA367}"/>
            </a:ext>
          </a:extLst>
        </xdr:cNvPr>
        <xdr:cNvSpPr>
          <a:spLocks noChangeShapeType="1"/>
        </xdr:cNvSpPr>
      </xdr:nvSpPr>
      <xdr:spPr bwMode="auto">
        <a:xfrm flipV="1">
          <a:off x="2361248" y="3211830"/>
          <a:ext cx="63722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21</xdr:row>
      <xdr:rowOff>91440</xdr:rowOff>
    </xdr:from>
    <xdr:to>
      <xdr:col>6</xdr:col>
      <xdr:colOff>7620</xdr:colOff>
      <xdr:row>22</xdr:row>
      <xdr:rowOff>99060</xdr:rowOff>
    </xdr:to>
    <xdr:sp macro="" textlink="">
      <xdr:nvSpPr>
        <xdr:cNvPr id="8" name="Line 7">
          <a:extLst>
            <a:ext uri="{FF2B5EF4-FFF2-40B4-BE49-F238E27FC236}">
              <a16:creationId xmlns="" xmlns:a16="http://schemas.microsoft.com/office/drawing/2014/main" id="{902439A1-CB85-4B6C-BEBA-E06E54A9B572}"/>
            </a:ext>
          </a:extLst>
        </xdr:cNvPr>
        <xdr:cNvSpPr>
          <a:spLocks noChangeShapeType="1"/>
        </xdr:cNvSpPr>
      </xdr:nvSpPr>
      <xdr:spPr bwMode="auto">
        <a:xfrm flipV="1">
          <a:off x="3647123" y="3396615"/>
          <a:ext cx="618172" cy="1695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22</xdr:row>
      <xdr:rowOff>121920</xdr:rowOff>
    </xdr:from>
    <xdr:to>
      <xdr:col>6</xdr:col>
      <xdr:colOff>0</xdr:colOff>
      <xdr:row>23</xdr:row>
      <xdr:rowOff>106680</xdr:rowOff>
    </xdr:to>
    <xdr:sp macro="" textlink="">
      <xdr:nvSpPr>
        <xdr:cNvPr id="9" name="Line 8">
          <a:extLst>
            <a:ext uri="{FF2B5EF4-FFF2-40B4-BE49-F238E27FC236}">
              <a16:creationId xmlns="" xmlns:a16="http://schemas.microsoft.com/office/drawing/2014/main" id="{38BE7209-6AE2-4A9D-AA5A-50C3B4D732D9}"/>
            </a:ext>
          </a:extLst>
        </xdr:cNvPr>
        <xdr:cNvSpPr>
          <a:spLocks noChangeShapeType="1"/>
        </xdr:cNvSpPr>
      </xdr:nvSpPr>
      <xdr:spPr bwMode="auto">
        <a:xfrm>
          <a:off x="3647123" y="3589020"/>
          <a:ext cx="610552" cy="1466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20</xdr:row>
      <xdr:rowOff>76200</xdr:rowOff>
    </xdr:from>
    <xdr:to>
      <xdr:col>6</xdr:col>
      <xdr:colOff>7620</xdr:colOff>
      <xdr:row>21</xdr:row>
      <xdr:rowOff>76200</xdr:rowOff>
    </xdr:to>
    <xdr:sp macro="" textlink="">
      <xdr:nvSpPr>
        <xdr:cNvPr id="10" name="Line 9">
          <a:extLst>
            <a:ext uri="{FF2B5EF4-FFF2-40B4-BE49-F238E27FC236}">
              <a16:creationId xmlns="" xmlns:a16="http://schemas.microsoft.com/office/drawing/2014/main" id="{ACDCC550-6F8D-4090-911A-64966FE23AED}"/>
            </a:ext>
          </a:extLst>
        </xdr:cNvPr>
        <xdr:cNvSpPr>
          <a:spLocks noChangeShapeType="1"/>
        </xdr:cNvSpPr>
      </xdr:nvSpPr>
      <xdr:spPr bwMode="auto">
        <a:xfrm>
          <a:off x="3624263" y="3219450"/>
          <a:ext cx="64103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19</xdr:row>
      <xdr:rowOff>68580</xdr:rowOff>
    </xdr:from>
    <xdr:to>
      <xdr:col>6</xdr:col>
      <xdr:colOff>7620</xdr:colOff>
      <xdr:row>20</xdr:row>
      <xdr:rowOff>68580</xdr:rowOff>
    </xdr:to>
    <xdr:sp macro="" textlink="">
      <xdr:nvSpPr>
        <xdr:cNvPr id="11" name="Line 10">
          <a:extLst>
            <a:ext uri="{FF2B5EF4-FFF2-40B4-BE49-F238E27FC236}">
              <a16:creationId xmlns="" xmlns:a16="http://schemas.microsoft.com/office/drawing/2014/main" id="{75E3607B-DBCB-43AD-A49C-A88B458C154C}"/>
            </a:ext>
          </a:extLst>
        </xdr:cNvPr>
        <xdr:cNvSpPr>
          <a:spLocks noChangeShapeType="1"/>
        </xdr:cNvSpPr>
      </xdr:nvSpPr>
      <xdr:spPr bwMode="auto">
        <a:xfrm flipV="1">
          <a:off x="3647123" y="3045143"/>
          <a:ext cx="618172" cy="16668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23</xdr:row>
      <xdr:rowOff>106680</xdr:rowOff>
    </xdr:from>
    <xdr:to>
      <xdr:col>6</xdr:col>
      <xdr:colOff>22860</xdr:colOff>
      <xdr:row>24</xdr:row>
      <xdr:rowOff>76200</xdr:rowOff>
    </xdr:to>
    <xdr:sp macro="" textlink="">
      <xdr:nvSpPr>
        <xdr:cNvPr id="12" name="Line 19">
          <a:extLst>
            <a:ext uri="{FF2B5EF4-FFF2-40B4-BE49-F238E27FC236}">
              <a16:creationId xmlns="" xmlns:a16="http://schemas.microsoft.com/office/drawing/2014/main" id="{108788B5-B740-4B95-A511-2628FFC4F5C1}"/>
            </a:ext>
          </a:extLst>
        </xdr:cNvPr>
        <xdr:cNvSpPr>
          <a:spLocks noChangeShapeType="1"/>
        </xdr:cNvSpPr>
      </xdr:nvSpPr>
      <xdr:spPr bwMode="auto">
        <a:xfrm flipV="1">
          <a:off x="3624263" y="3735705"/>
          <a:ext cx="656272" cy="1314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7620</xdr:colOff>
      <xdr:row>24</xdr:row>
      <xdr:rowOff>76200</xdr:rowOff>
    </xdr:from>
    <xdr:to>
      <xdr:col>6</xdr:col>
      <xdr:colOff>0</xdr:colOff>
      <xdr:row>25</xdr:row>
      <xdr:rowOff>91440</xdr:rowOff>
    </xdr:to>
    <xdr:sp macro="" textlink="">
      <xdr:nvSpPr>
        <xdr:cNvPr id="13" name="Line 20">
          <a:extLst>
            <a:ext uri="{FF2B5EF4-FFF2-40B4-BE49-F238E27FC236}">
              <a16:creationId xmlns="" xmlns:a16="http://schemas.microsoft.com/office/drawing/2014/main" id="{E7704542-92CD-4BFD-851C-B3CF7162FE5B}"/>
            </a:ext>
          </a:extLst>
        </xdr:cNvPr>
        <xdr:cNvSpPr>
          <a:spLocks noChangeShapeType="1"/>
        </xdr:cNvSpPr>
      </xdr:nvSpPr>
      <xdr:spPr bwMode="auto">
        <a:xfrm>
          <a:off x="3631883" y="3867150"/>
          <a:ext cx="625792" cy="17716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32</xdr:row>
      <xdr:rowOff>76200</xdr:rowOff>
    </xdr:from>
    <xdr:to>
      <xdr:col>2</xdr:col>
      <xdr:colOff>0</xdr:colOff>
      <xdr:row>33</xdr:row>
      <xdr:rowOff>91440</xdr:rowOff>
    </xdr:to>
    <xdr:sp macro="" textlink="">
      <xdr:nvSpPr>
        <xdr:cNvPr id="14" name="Line 42">
          <a:extLst>
            <a:ext uri="{FF2B5EF4-FFF2-40B4-BE49-F238E27FC236}">
              <a16:creationId xmlns="" xmlns:a16="http://schemas.microsoft.com/office/drawing/2014/main" id="{AF4C9719-FE15-4AEC-A9A9-2B57E757C979}"/>
            </a:ext>
          </a:extLst>
        </xdr:cNvPr>
        <xdr:cNvSpPr>
          <a:spLocks noChangeShapeType="1"/>
        </xdr:cNvSpPr>
      </xdr:nvSpPr>
      <xdr:spPr bwMode="auto">
        <a:xfrm flipV="1">
          <a:off x="1071563" y="4681538"/>
          <a:ext cx="633412" cy="17716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33</xdr:row>
      <xdr:rowOff>99060</xdr:rowOff>
    </xdr:from>
    <xdr:to>
      <xdr:col>2</xdr:col>
      <xdr:colOff>7620</xdr:colOff>
      <xdr:row>34</xdr:row>
      <xdr:rowOff>91440</xdr:rowOff>
    </xdr:to>
    <xdr:sp macro="" textlink="">
      <xdr:nvSpPr>
        <xdr:cNvPr id="15" name="Line 43">
          <a:extLst>
            <a:ext uri="{FF2B5EF4-FFF2-40B4-BE49-F238E27FC236}">
              <a16:creationId xmlns="" xmlns:a16="http://schemas.microsoft.com/office/drawing/2014/main" id="{AC69DAD2-A780-4551-B0DE-B8C3E867861D}"/>
            </a:ext>
          </a:extLst>
        </xdr:cNvPr>
        <xdr:cNvSpPr>
          <a:spLocks noChangeShapeType="1"/>
        </xdr:cNvSpPr>
      </xdr:nvSpPr>
      <xdr:spPr bwMode="auto">
        <a:xfrm>
          <a:off x="1071563" y="4866323"/>
          <a:ext cx="641032" cy="15430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33</xdr:row>
      <xdr:rowOff>91440</xdr:rowOff>
    </xdr:from>
    <xdr:to>
      <xdr:col>4</xdr:col>
      <xdr:colOff>7620</xdr:colOff>
      <xdr:row>34</xdr:row>
      <xdr:rowOff>99060</xdr:rowOff>
    </xdr:to>
    <xdr:sp macro="" textlink="">
      <xdr:nvSpPr>
        <xdr:cNvPr id="16" name="Line 44">
          <a:extLst>
            <a:ext uri="{FF2B5EF4-FFF2-40B4-BE49-F238E27FC236}">
              <a16:creationId xmlns="" xmlns:a16="http://schemas.microsoft.com/office/drawing/2014/main" id="{8E248230-9F52-4C34-8011-260842365429}"/>
            </a:ext>
          </a:extLst>
        </xdr:cNvPr>
        <xdr:cNvSpPr>
          <a:spLocks noChangeShapeType="1"/>
        </xdr:cNvSpPr>
      </xdr:nvSpPr>
      <xdr:spPr bwMode="auto">
        <a:xfrm flipV="1">
          <a:off x="2361248" y="4858703"/>
          <a:ext cx="637222" cy="1695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34</xdr:row>
      <xdr:rowOff>121920</xdr:rowOff>
    </xdr:from>
    <xdr:to>
      <xdr:col>4</xdr:col>
      <xdr:colOff>0</xdr:colOff>
      <xdr:row>35</xdr:row>
      <xdr:rowOff>106680</xdr:rowOff>
    </xdr:to>
    <xdr:sp macro="" textlink="">
      <xdr:nvSpPr>
        <xdr:cNvPr id="17" name="Line 45">
          <a:extLst>
            <a:ext uri="{FF2B5EF4-FFF2-40B4-BE49-F238E27FC236}">
              <a16:creationId xmlns="" xmlns:a16="http://schemas.microsoft.com/office/drawing/2014/main" id="{5AC0E801-0C3A-49D4-9D76-8A0F65A5492C}"/>
            </a:ext>
          </a:extLst>
        </xdr:cNvPr>
        <xdr:cNvSpPr>
          <a:spLocks noChangeShapeType="1"/>
        </xdr:cNvSpPr>
      </xdr:nvSpPr>
      <xdr:spPr bwMode="auto">
        <a:xfrm>
          <a:off x="2361248" y="5051108"/>
          <a:ext cx="629602" cy="1466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32</xdr:row>
      <xdr:rowOff>76200</xdr:rowOff>
    </xdr:from>
    <xdr:to>
      <xdr:col>4</xdr:col>
      <xdr:colOff>7620</xdr:colOff>
      <xdr:row>33</xdr:row>
      <xdr:rowOff>76200</xdr:rowOff>
    </xdr:to>
    <xdr:sp macro="" textlink="">
      <xdr:nvSpPr>
        <xdr:cNvPr id="18" name="Line 46">
          <a:extLst>
            <a:ext uri="{FF2B5EF4-FFF2-40B4-BE49-F238E27FC236}">
              <a16:creationId xmlns="" xmlns:a16="http://schemas.microsoft.com/office/drawing/2014/main" id="{5EEDB78C-CDD1-4EDD-94A2-34A2660369C7}"/>
            </a:ext>
          </a:extLst>
        </xdr:cNvPr>
        <xdr:cNvSpPr>
          <a:spLocks noChangeShapeType="1"/>
        </xdr:cNvSpPr>
      </xdr:nvSpPr>
      <xdr:spPr bwMode="auto">
        <a:xfrm>
          <a:off x="2338388" y="4681538"/>
          <a:ext cx="66008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31</xdr:row>
      <xdr:rowOff>68580</xdr:rowOff>
    </xdr:from>
    <xdr:to>
      <xdr:col>4</xdr:col>
      <xdr:colOff>7620</xdr:colOff>
      <xdr:row>32</xdr:row>
      <xdr:rowOff>68580</xdr:rowOff>
    </xdr:to>
    <xdr:sp macro="" textlink="">
      <xdr:nvSpPr>
        <xdr:cNvPr id="19" name="Line 47">
          <a:extLst>
            <a:ext uri="{FF2B5EF4-FFF2-40B4-BE49-F238E27FC236}">
              <a16:creationId xmlns="" xmlns:a16="http://schemas.microsoft.com/office/drawing/2014/main" id="{4E37527A-E806-40BC-8549-2118F502C662}"/>
            </a:ext>
          </a:extLst>
        </xdr:cNvPr>
        <xdr:cNvSpPr>
          <a:spLocks noChangeShapeType="1"/>
        </xdr:cNvSpPr>
      </xdr:nvSpPr>
      <xdr:spPr bwMode="auto">
        <a:xfrm flipV="1">
          <a:off x="2361248" y="4511993"/>
          <a:ext cx="63722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32</xdr:row>
      <xdr:rowOff>91440</xdr:rowOff>
    </xdr:from>
    <xdr:to>
      <xdr:col>6</xdr:col>
      <xdr:colOff>7620</xdr:colOff>
      <xdr:row>33</xdr:row>
      <xdr:rowOff>99060</xdr:rowOff>
    </xdr:to>
    <xdr:sp macro="" textlink="">
      <xdr:nvSpPr>
        <xdr:cNvPr id="20" name="Line 48">
          <a:extLst>
            <a:ext uri="{FF2B5EF4-FFF2-40B4-BE49-F238E27FC236}">
              <a16:creationId xmlns="" xmlns:a16="http://schemas.microsoft.com/office/drawing/2014/main" id="{F1524291-AF48-4FDB-BB2C-D53185A28F5D}"/>
            </a:ext>
          </a:extLst>
        </xdr:cNvPr>
        <xdr:cNvSpPr>
          <a:spLocks noChangeShapeType="1"/>
        </xdr:cNvSpPr>
      </xdr:nvSpPr>
      <xdr:spPr bwMode="auto">
        <a:xfrm flipV="1">
          <a:off x="3647123" y="4696778"/>
          <a:ext cx="618172" cy="1695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33</xdr:row>
      <xdr:rowOff>121920</xdr:rowOff>
    </xdr:from>
    <xdr:to>
      <xdr:col>6</xdr:col>
      <xdr:colOff>0</xdr:colOff>
      <xdr:row>34</xdr:row>
      <xdr:rowOff>106680</xdr:rowOff>
    </xdr:to>
    <xdr:sp macro="" textlink="">
      <xdr:nvSpPr>
        <xdr:cNvPr id="21" name="Line 49">
          <a:extLst>
            <a:ext uri="{FF2B5EF4-FFF2-40B4-BE49-F238E27FC236}">
              <a16:creationId xmlns="" xmlns:a16="http://schemas.microsoft.com/office/drawing/2014/main" id="{B539DFCC-A0B9-4533-810D-DE67C75849EC}"/>
            </a:ext>
          </a:extLst>
        </xdr:cNvPr>
        <xdr:cNvSpPr>
          <a:spLocks noChangeShapeType="1"/>
        </xdr:cNvSpPr>
      </xdr:nvSpPr>
      <xdr:spPr bwMode="auto">
        <a:xfrm>
          <a:off x="3647123" y="4889183"/>
          <a:ext cx="610552" cy="1466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31</xdr:row>
      <xdr:rowOff>76200</xdr:rowOff>
    </xdr:from>
    <xdr:to>
      <xdr:col>6</xdr:col>
      <xdr:colOff>7620</xdr:colOff>
      <xdr:row>32</xdr:row>
      <xdr:rowOff>76200</xdr:rowOff>
    </xdr:to>
    <xdr:sp macro="" textlink="">
      <xdr:nvSpPr>
        <xdr:cNvPr id="22" name="Line 50">
          <a:extLst>
            <a:ext uri="{FF2B5EF4-FFF2-40B4-BE49-F238E27FC236}">
              <a16:creationId xmlns="" xmlns:a16="http://schemas.microsoft.com/office/drawing/2014/main" id="{C60223A6-B3F6-462A-AD09-B8E7745E16F0}"/>
            </a:ext>
          </a:extLst>
        </xdr:cNvPr>
        <xdr:cNvSpPr>
          <a:spLocks noChangeShapeType="1"/>
        </xdr:cNvSpPr>
      </xdr:nvSpPr>
      <xdr:spPr bwMode="auto">
        <a:xfrm>
          <a:off x="3624263" y="4519613"/>
          <a:ext cx="64103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30</xdr:row>
      <xdr:rowOff>68580</xdr:rowOff>
    </xdr:from>
    <xdr:to>
      <xdr:col>6</xdr:col>
      <xdr:colOff>7620</xdr:colOff>
      <xdr:row>31</xdr:row>
      <xdr:rowOff>68580</xdr:rowOff>
    </xdr:to>
    <xdr:sp macro="" textlink="">
      <xdr:nvSpPr>
        <xdr:cNvPr id="23" name="Line 51">
          <a:extLst>
            <a:ext uri="{FF2B5EF4-FFF2-40B4-BE49-F238E27FC236}">
              <a16:creationId xmlns="" xmlns:a16="http://schemas.microsoft.com/office/drawing/2014/main" id="{5F0C8955-188B-4281-8A5E-8D73CAE1C192}"/>
            </a:ext>
          </a:extLst>
        </xdr:cNvPr>
        <xdr:cNvSpPr>
          <a:spLocks noChangeShapeType="1"/>
        </xdr:cNvSpPr>
      </xdr:nvSpPr>
      <xdr:spPr bwMode="auto">
        <a:xfrm flipV="1">
          <a:off x="3647123" y="4345305"/>
          <a:ext cx="618172" cy="16668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34</xdr:row>
      <xdr:rowOff>106680</xdr:rowOff>
    </xdr:from>
    <xdr:to>
      <xdr:col>6</xdr:col>
      <xdr:colOff>22860</xdr:colOff>
      <xdr:row>35</xdr:row>
      <xdr:rowOff>76200</xdr:rowOff>
    </xdr:to>
    <xdr:sp macro="" textlink="">
      <xdr:nvSpPr>
        <xdr:cNvPr id="24" name="Line 59">
          <a:extLst>
            <a:ext uri="{FF2B5EF4-FFF2-40B4-BE49-F238E27FC236}">
              <a16:creationId xmlns="" xmlns:a16="http://schemas.microsoft.com/office/drawing/2014/main" id="{5F9F52AA-E0A8-40CD-8FB7-524D96211B7D}"/>
            </a:ext>
          </a:extLst>
        </xdr:cNvPr>
        <xdr:cNvSpPr>
          <a:spLocks noChangeShapeType="1"/>
        </xdr:cNvSpPr>
      </xdr:nvSpPr>
      <xdr:spPr bwMode="auto">
        <a:xfrm flipV="1">
          <a:off x="3624263" y="5035868"/>
          <a:ext cx="656272" cy="1314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7620</xdr:colOff>
      <xdr:row>35</xdr:row>
      <xdr:rowOff>76200</xdr:rowOff>
    </xdr:from>
    <xdr:to>
      <xdr:col>6</xdr:col>
      <xdr:colOff>0</xdr:colOff>
      <xdr:row>36</xdr:row>
      <xdr:rowOff>91440</xdr:rowOff>
    </xdr:to>
    <xdr:sp macro="" textlink="">
      <xdr:nvSpPr>
        <xdr:cNvPr id="25" name="Line 60">
          <a:extLst>
            <a:ext uri="{FF2B5EF4-FFF2-40B4-BE49-F238E27FC236}">
              <a16:creationId xmlns="" xmlns:a16="http://schemas.microsoft.com/office/drawing/2014/main" id="{84F8E946-6459-49B9-B627-A7A056E4A756}"/>
            </a:ext>
          </a:extLst>
        </xdr:cNvPr>
        <xdr:cNvSpPr>
          <a:spLocks noChangeShapeType="1"/>
        </xdr:cNvSpPr>
      </xdr:nvSpPr>
      <xdr:spPr bwMode="auto">
        <a:xfrm>
          <a:off x="3631883" y="5167313"/>
          <a:ext cx="625792" cy="17716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31</xdr:row>
      <xdr:rowOff>68580</xdr:rowOff>
    </xdr:from>
    <xdr:to>
      <xdr:col>4</xdr:col>
      <xdr:colOff>7620</xdr:colOff>
      <xdr:row>32</xdr:row>
      <xdr:rowOff>68580</xdr:rowOff>
    </xdr:to>
    <xdr:sp macro="" textlink="">
      <xdr:nvSpPr>
        <xdr:cNvPr id="26" name="Line 64">
          <a:extLst>
            <a:ext uri="{FF2B5EF4-FFF2-40B4-BE49-F238E27FC236}">
              <a16:creationId xmlns="" xmlns:a16="http://schemas.microsoft.com/office/drawing/2014/main" id="{98E5ECDE-8F5D-441A-9776-6D0CB60476B9}"/>
            </a:ext>
          </a:extLst>
        </xdr:cNvPr>
        <xdr:cNvSpPr>
          <a:spLocks noChangeShapeType="1"/>
        </xdr:cNvSpPr>
      </xdr:nvSpPr>
      <xdr:spPr bwMode="auto">
        <a:xfrm flipV="1">
          <a:off x="2361248" y="4511993"/>
          <a:ext cx="63722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542925</xdr:colOff>
      <xdr:row>5</xdr:row>
      <xdr:rowOff>133349</xdr:rowOff>
    </xdr:from>
    <xdr:to>
      <xdr:col>8</xdr:col>
      <xdr:colOff>252198</xdr:colOff>
      <xdr:row>10</xdr:row>
      <xdr:rowOff>171463</xdr:rowOff>
    </xdr:to>
    <xdr:pic>
      <xdr:nvPicPr>
        <xdr:cNvPr id="27" name="Picture 26"/>
        <xdr:cNvPicPr>
          <a:picLocks noChangeAspect="1"/>
        </xdr:cNvPicPr>
      </xdr:nvPicPr>
      <xdr:blipFill>
        <a:blip xmlns:r="http://schemas.openxmlformats.org/officeDocument/2006/relationships" r:embed="rId1"/>
        <a:stretch>
          <a:fillRect/>
        </a:stretch>
      </xdr:blipFill>
      <xdr:spPr>
        <a:xfrm>
          <a:off x="6024563" y="947737"/>
          <a:ext cx="1238036" cy="1000139"/>
        </a:xfrm>
        <a:prstGeom prst="rect">
          <a:avLst/>
        </a:prstGeom>
      </xdr:spPr>
    </xdr:pic>
    <xdr:clientData/>
  </xdr:twoCellAnchor>
  <xdr:twoCellAnchor>
    <xdr:from>
      <xdr:col>5</xdr:col>
      <xdr:colOff>22860</xdr:colOff>
      <xdr:row>19</xdr:row>
      <xdr:rowOff>68580</xdr:rowOff>
    </xdr:from>
    <xdr:to>
      <xdr:col>6</xdr:col>
      <xdr:colOff>7620</xdr:colOff>
      <xdr:row>20</xdr:row>
      <xdr:rowOff>68580</xdr:rowOff>
    </xdr:to>
    <xdr:sp macro="" textlink="">
      <xdr:nvSpPr>
        <xdr:cNvPr id="28" name="Line 6">
          <a:extLst>
            <a:ext uri="{FF2B5EF4-FFF2-40B4-BE49-F238E27FC236}">
              <a16:creationId xmlns="" xmlns:a16="http://schemas.microsoft.com/office/drawing/2014/main" id="{1867C12A-F31C-4381-91B1-2B232DCFA367}"/>
            </a:ext>
          </a:extLst>
        </xdr:cNvPr>
        <xdr:cNvSpPr>
          <a:spLocks noChangeShapeType="1"/>
        </xdr:cNvSpPr>
      </xdr:nvSpPr>
      <xdr:spPr bwMode="auto">
        <a:xfrm flipV="1">
          <a:off x="3104198" y="3049905"/>
          <a:ext cx="637222"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17</xdr:row>
      <xdr:rowOff>76200</xdr:rowOff>
    </xdr:from>
    <xdr:to>
      <xdr:col>2</xdr:col>
      <xdr:colOff>0</xdr:colOff>
      <xdr:row>18</xdr:row>
      <xdr:rowOff>91440</xdr:rowOff>
    </xdr:to>
    <xdr:sp macro="" textlink="">
      <xdr:nvSpPr>
        <xdr:cNvPr id="2" name="Line 1">
          <a:extLst>
            <a:ext uri="{FF2B5EF4-FFF2-40B4-BE49-F238E27FC236}">
              <a16:creationId xmlns="" xmlns:a16="http://schemas.microsoft.com/office/drawing/2014/main" id="{916B5300-5334-48CA-AB7B-7582DBE38647}"/>
            </a:ext>
          </a:extLst>
        </xdr:cNvPr>
        <xdr:cNvSpPr>
          <a:spLocks noChangeShapeType="1"/>
        </xdr:cNvSpPr>
      </xdr:nvSpPr>
      <xdr:spPr bwMode="auto">
        <a:xfrm flipV="1">
          <a:off x="1647825" y="2814638"/>
          <a:ext cx="647700" cy="1962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18</xdr:row>
      <xdr:rowOff>99060</xdr:rowOff>
    </xdr:from>
    <xdr:to>
      <xdr:col>2</xdr:col>
      <xdr:colOff>7620</xdr:colOff>
      <xdr:row>19</xdr:row>
      <xdr:rowOff>91440</xdr:rowOff>
    </xdr:to>
    <xdr:sp macro="" textlink="">
      <xdr:nvSpPr>
        <xdr:cNvPr id="3" name="Line 2">
          <a:extLst>
            <a:ext uri="{FF2B5EF4-FFF2-40B4-BE49-F238E27FC236}">
              <a16:creationId xmlns="" xmlns:a16="http://schemas.microsoft.com/office/drawing/2014/main" id="{E43AED6B-5F99-49B6-B3EA-E17D53569DB8}"/>
            </a:ext>
          </a:extLst>
        </xdr:cNvPr>
        <xdr:cNvSpPr>
          <a:spLocks noChangeShapeType="1"/>
        </xdr:cNvSpPr>
      </xdr:nvSpPr>
      <xdr:spPr bwMode="auto">
        <a:xfrm>
          <a:off x="1647825" y="3018473"/>
          <a:ext cx="655320" cy="17335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xdr:row>
      <xdr:rowOff>68580</xdr:rowOff>
    </xdr:from>
    <xdr:to>
      <xdr:col>4</xdr:col>
      <xdr:colOff>0</xdr:colOff>
      <xdr:row>17</xdr:row>
      <xdr:rowOff>91440</xdr:rowOff>
    </xdr:to>
    <xdr:sp macro="" textlink="">
      <xdr:nvSpPr>
        <xdr:cNvPr id="6" name="Line 31">
          <a:extLst>
            <a:ext uri="{FF2B5EF4-FFF2-40B4-BE49-F238E27FC236}">
              <a16:creationId xmlns="" xmlns:a16="http://schemas.microsoft.com/office/drawing/2014/main" id="{FF5DBCD9-66A0-4F84-86AD-84285096FBE1}"/>
            </a:ext>
          </a:extLst>
        </xdr:cNvPr>
        <xdr:cNvSpPr>
          <a:spLocks noChangeShapeType="1"/>
        </xdr:cNvSpPr>
      </xdr:nvSpPr>
      <xdr:spPr bwMode="auto">
        <a:xfrm flipV="1">
          <a:off x="2943225" y="2626043"/>
          <a:ext cx="647700" cy="20383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17</xdr:row>
      <xdr:rowOff>99060</xdr:rowOff>
    </xdr:from>
    <xdr:to>
      <xdr:col>4</xdr:col>
      <xdr:colOff>7620</xdr:colOff>
      <xdr:row>18</xdr:row>
      <xdr:rowOff>99060</xdr:rowOff>
    </xdr:to>
    <xdr:sp macro="" textlink="">
      <xdr:nvSpPr>
        <xdr:cNvPr id="7" name="Line 32">
          <a:extLst>
            <a:ext uri="{FF2B5EF4-FFF2-40B4-BE49-F238E27FC236}">
              <a16:creationId xmlns="" xmlns:a16="http://schemas.microsoft.com/office/drawing/2014/main" id="{49B10C71-F3CF-4361-945A-1C248C8E35C2}"/>
            </a:ext>
          </a:extLst>
        </xdr:cNvPr>
        <xdr:cNvSpPr>
          <a:spLocks noChangeShapeType="1"/>
        </xdr:cNvSpPr>
      </xdr:nvSpPr>
      <xdr:spPr bwMode="auto">
        <a:xfrm>
          <a:off x="2943225" y="2837498"/>
          <a:ext cx="65532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30480</xdr:colOff>
      <xdr:row>18</xdr:row>
      <xdr:rowOff>91440</xdr:rowOff>
    </xdr:from>
    <xdr:to>
      <xdr:col>4</xdr:col>
      <xdr:colOff>22860</xdr:colOff>
      <xdr:row>19</xdr:row>
      <xdr:rowOff>99060</xdr:rowOff>
    </xdr:to>
    <xdr:sp macro="" textlink="">
      <xdr:nvSpPr>
        <xdr:cNvPr id="8" name="Line 33">
          <a:extLst>
            <a:ext uri="{FF2B5EF4-FFF2-40B4-BE49-F238E27FC236}">
              <a16:creationId xmlns="" xmlns:a16="http://schemas.microsoft.com/office/drawing/2014/main" id="{AF22BDFC-BC96-4632-BC4E-5805417365A6}"/>
            </a:ext>
          </a:extLst>
        </xdr:cNvPr>
        <xdr:cNvSpPr>
          <a:spLocks noChangeShapeType="1"/>
        </xdr:cNvSpPr>
      </xdr:nvSpPr>
      <xdr:spPr bwMode="auto">
        <a:xfrm flipV="1">
          <a:off x="2973705" y="3010853"/>
          <a:ext cx="640080" cy="18859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22860</xdr:colOff>
      <xdr:row>19</xdr:row>
      <xdr:rowOff>99060</xdr:rowOff>
    </xdr:from>
    <xdr:to>
      <xdr:col>4</xdr:col>
      <xdr:colOff>7620</xdr:colOff>
      <xdr:row>20</xdr:row>
      <xdr:rowOff>76200</xdr:rowOff>
    </xdr:to>
    <xdr:sp macro="" textlink="">
      <xdr:nvSpPr>
        <xdr:cNvPr id="9" name="Line 34">
          <a:extLst>
            <a:ext uri="{FF2B5EF4-FFF2-40B4-BE49-F238E27FC236}">
              <a16:creationId xmlns="" xmlns:a16="http://schemas.microsoft.com/office/drawing/2014/main" id="{00878EAB-5761-4698-8B0D-0650A70B6949}"/>
            </a:ext>
          </a:extLst>
        </xdr:cNvPr>
        <xdr:cNvSpPr>
          <a:spLocks noChangeShapeType="1"/>
        </xdr:cNvSpPr>
      </xdr:nvSpPr>
      <xdr:spPr bwMode="auto">
        <a:xfrm>
          <a:off x="2966085" y="3199448"/>
          <a:ext cx="632460" cy="1581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28</xdr:row>
      <xdr:rowOff>76200</xdr:rowOff>
    </xdr:from>
    <xdr:to>
      <xdr:col>2</xdr:col>
      <xdr:colOff>0</xdr:colOff>
      <xdr:row>29</xdr:row>
      <xdr:rowOff>91440</xdr:rowOff>
    </xdr:to>
    <xdr:sp macro="" textlink="">
      <xdr:nvSpPr>
        <xdr:cNvPr id="10" name="Line 35">
          <a:extLst>
            <a:ext uri="{FF2B5EF4-FFF2-40B4-BE49-F238E27FC236}">
              <a16:creationId xmlns="" xmlns:a16="http://schemas.microsoft.com/office/drawing/2014/main" id="{D7FA5485-16BF-4B79-9E0A-7F5B20D06590}"/>
            </a:ext>
          </a:extLst>
        </xdr:cNvPr>
        <xdr:cNvSpPr>
          <a:spLocks noChangeShapeType="1"/>
        </xdr:cNvSpPr>
      </xdr:nvSpPr>
      <xdr:spPr bwMode="auto">
        <a:xfrm flipV="1">
          <a:off x="1647825" y="4986338"/>
          <a:ext cx="647700" cy="19621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29</xdr:row>
      <xdr:rowOff>99060</xdr:rowOff>
    </xdr:from>
    <xdr:to>
      <xdr:col>2</xdr:col>
      <xdr:colOff>7620</xdr:colOff>
      <xdr:row>30</xdr:row>
      <xdr:rowOff>91440</xdr:rowOff>
    </xdr:to>
    <xdr:sp macro="" textlink="">
      <xdr:nvSpPr>
        <xdr:cNvPr id="11" name="Line 36">
          <a:extLst>
            <a:ext uri="{FF2B5EF4-FFF2-40B4-BE49-F238E27FC236}">
              <a16:creationId xmlns="" xmlns:a16="http://schemas.microsoft.com/office/drawing/2014/main" id="{00A60A0F-27CD-4348-9296-C091C0EC7740}"/>
            </a:ext>
          </a:extLst>
        </xdr:cNvPr>
        <xdr:cNvSpPr>
          <a:spLocks noChangeShapeType="1"/>
        </xdr:cNvSpPr>
      </xdr:nvSpPr>
      <xdr:spPr bwMode="auto">
        <a:xfrm>
          <a:off x="1647825" y="5190173"/>
          <a:ext cx="655320" cy="17335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601980</xdr:colOff>
      <xdr:row>27</xdr:row>
      <xdr:rowOff>68580</xdr:rowOff>
    </xdr:from>
    <xdr:to>
      <xdr:col>4</xdr:col>
      <xdr:colOff>0</xdr:colOff>
      <xdr:row>28</xdr:row>
      <xdr:rowOff>76200</xdr:rowOff>
    </xdr:to>
    <xdr:sp macro="" textlink="">
      <xdr:nvSpPr>
        <xdr:cNvPr id="12" name="Line 41">
          <a:extLst>
            <a:ext uri="{FF2B5EF4-FFF2-40B4-BE49-F238E27FC236}">
              <a16:creationId xmlns="" xmlns:a16="http://schemas.microsoft.com/office/drawing/2014/main" id="{DAE41048-E0EC-41A4-8E66-E2E1133C46B9}"/>
            </a:ext>
          </a:extLst>
        </xdr:cNvPr>
        <xdr:cNvSpPr>
          <a:spLocks noChangeShapeType="1"/>
        </xdr:cNvSpPr>
      </xdr:nvSpPr>
      <xdr:spPr bwMode="auto">
        <a:xfrm flipV="1">
          <a:off x="2897505" y="4797743"/>
          <a:ext cx="693420" cy="18859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28</xdr:row>
      <xdr:rowOff>76200</xdr:rowOff>
    </xdr:from>
    <xdr:to>
      <xdr:col>4</xdr:col>
      <xdr:colOff>0</xdr:colOff>
      <xdr:row>29</xdr:row>
      <xdr:rowOff>76200</xdr:rowOff>
    </xdr:to>
    <xdr:sp macro="" textlink="">
      <xdr:nvSpPr>
        <xdr:cNvPr id="13" name="Line 42">
          <a:extLst>
            <a:ext uri="{FF2B5EF4-FFF2-40B4-BE49-F238E27FC236}">
              <a16:creationId xmlns="" xmlns:a16="http://schemas.microsoft.com/office/drawing/2014/main" id="{74328648-F470-47EC-917F-EED9F27FC1A1}"/>
            </a:ext>
          </a:extLst>
        </xdr:cNvPr>
        <xdr:cNvSpPr>
          <a:spLocks noChangeShapeType="1"/>
        </xdr:cNvSpPr>
      </xdr:nvSpPr>
      <xdr:spPr bwMode="auto">
        <a:xfrm>
          <a:off x="2943225" y="4986338"/>
          <a:ext cx="647700" cy="1809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91440</xdr:rowOff>
    </xdr:from>
    <xdr:to>
      <xdr:col>3</xdr:col>
      <xdr:colOff>601980</xdr:colOff>
      <xdr:row>30</xdr:row>
      <xdr:rowOff>91440</xdr:rowOff>
    </xdr:to>
    <xdr:sp macro="" textlink="">
      <xdr:nvSpPr>
        <xdr:cNvPr id="14" name="Line 43">
          <a:extLst>
            <a:ext uri="{FF2B5EF4-FFF2-40B4-BE49-F238E27FC236}">
              <a16:creationId xmlns="" xmlns:a16="http://schemas.microsoft.com/office/drawing/2014/main" id="{CBE1AA9A-CF01-4110-9D47-9EF18FFE886C}"/>
            </a:ext>
          </a:extLst>
        </xdr:cNvPr>
        <xdr:cNvSpPr>
          <a:spLocks noChangeShapeType="1"/>
        </xdr:cNvSpPr>
      </xdr:nvSpPr>
      <xdr:spPr bwMode="auto">
        <a:xfrm flipV="1">
          <a:off x="2943225" y="5182553"/>
          <a:ext cx="601980" cy="1809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30</xdr:row>
      <xdr:rowOff>99060</xdr:rowOff>
    </xdr:from>
    <xdr:to>
      <xdr:col>4</xdr:col>
      <xdr:colOff>0</xdr:colOff>
      <xdr:row>31</xdr:row>
      <xdr:rowOff>76200</xdr:rowOff>
    </xdr:to>
    <xdr:sp macro="" textlink="">
      <xdr:nvSpPr>
        <xdr:cNvPr id="15" name="Line 44">
          <a:extLst>
            <a:ext uri="{FF2B5EF4-FFF2-40B4-BE49-F238E27FC236}">
              <a16:creationId xmlns="" xmlns:a16="http://schemas.microsoft.com/office/drawing/2014/main" id="{A8D136A6-7FA0-4B73-8BC5-740232DB603B}"/>
            </a:ext>
          </a:extLst>
        </xdr:cNvPr>
        <xdr:cNvSpPr>
          <a:spLocks noChangeShapeType="1"/>
        </xdr:cNvSpPr>
      </xdr:nvSpPr>
      <xdr:spPr bwMode="auto">
        <a:xfrm>
          <a:off x="2943225" y="5371148"/>
          <a:ext cx="647700" cy="15811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15</xdr:row>
      <xdr:rowOff>66675</xdr:rowOff>
    </xdr:from>
    <xdr:to>
      <xdr:col>6</xdr:col>
      <xdr:colOff>9525</xdr:colOff>
      <xdr:row>16</xdr:row>
      <xdr:rowOff>89535</xdr:rowOff>
    </xdr:to>
    <xdr:sp macro="" textlink="">
      <xdr:nvSpPr>
        <xdr:cNvPr id="26" name="Line 31">
          <a:extLst>
            <a:ext uri="{FF2B5EF4-FFF2-40B4-BE49-F238E27FC236}">
              <a16:creationId xmlns="" xmlns:a16="http://schemas.microsoft.com/office/drawing/2014/main" id="{FF5DBCD9-66A0-4F84-86AD-84285096FBE1}"/>
            </a:ext>
          </a:extLst>
        </xdr:cNvPr>
        <xdr:cNvSpPr>
          <a:spLocks noChangeShapeType="1"/>
        </xdr:cNvSpPr>
      </xdr:nvSpPr>
      <xdr:spPr bwMode="auto">
        <a:xfrm flipV="1">
          <a:off x="4248150" y="2443163"/>
          <a:ext cx="647700" cy="20383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16</xdr:row>
      <xdr:rowOff>123825</xdr:rowOff>
    </xdr:from>
    <xdr:to>
      <xdr:col>6</xdr:col>
      <xdr:colOff>7620</xdr:colOff>
      <xdr:row>17</xdr:row>
      <xdr:rowOff>123825</xdr:rowOff>
    </xdr:to>
    <xdr:sp macro="" textlink="">
      <xdr:nvSpPr>
        <xdr:cNvPr id="27" name="Line 32">
          <a:extLst>
            <a:ext uri="{FF2B5EF4-FFF2-40B4-BE49-F238E27FC236}">
              <a16:creationId xmlns="" xmlns:a16="http://schemas.microsoft.com/office/drawing/2014/main" id="{49B10C71-F3CF-4361-945A-1C248C8E35C2}"/>
            </a:ext>
          </a:extLst>
        </xdr:cNvPr>
        <xdr:cNvSpPr>
          <a:spLocks noChangeShapeType="1"/>
        </xdr:cNvSpPr>
      </xdr:nvSpPr>
      <xdr:spPr bwMode="auto">
        <a:xfrm>
          <a:off x="4238625" y="2681288"/>
          <a:ext cx="65532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12382</xdr:colOff>
      <xdr:row>17</xdr:row>
      <xdr:rowOff>119063</xdr:rowOff>
    </xdr:from>
    <xdr:to>
      <xdr:col>6</xdr:col>
      <xdr:colOff>4762</xdr:colOff>
      <xdr:row>18</xdr:row>
      <xdr:rowOff>126683</xdr:rowOff>
    </xdr:to>
    <xdr:sp macro="" textlink="">
      <xdr:nvSpPr>
        <xdr:cNvPr id="28" name="Line 33">
          <a:extLst>
            <a:ext uri="{FF2B5EF4-FFF2-40B4-BE49-F238E27FC236}">
              <a16:creationId xmlns="" xmlns:a16="http://schemas.microsoft.com/office/drawing/2014/main" id="{AF22BDFC-BC96-4632-BC4E-5805417365A6}"/>
            </a:ext>
          </a:extLst>
        </xdr:cNvPr>
        <xdr:cNvSpPr>
          <a:spLocks noChangeShapeType="1"/>
        </xdr:cNvSpPr>
      </xdr:nvSpPr>
      <xdr:spPr bwMode="auto">
        <a:xfrm flipV="1">
          <a:off x="4251007" y="2857501"/>
          <a:ext cx="640080" cy="18859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4762</xdr:colOff>
      <xdr:row>18</xdr:row>
      <xdr:rowOff>126683</xdr:rowOff>
    </xdr:from>
    <xdr:to>
      <xdr:col>5</xdr:col>
      <xdr:colOff>637222</xdr:colOff>
      <xdr:row>19</xdr:row>
      <xdr:rowOff>103823</xdr:rowOff>
    </xdr:to>
    <xdr:sp macro="" textlink="">
      <xdr:nvSpPr>
        <xdr:cNvPr id="29" name="Line 34">
          <a:extLst>
            <a:ext uri="{FF2B5EF4-FFF2-40B4-BE49-F238E27FC236}">
              <a16:creationId xmlns="" xmlns:a16="http://schemas.microsoft.com/office/drawing/2014/main" id="{00878EAB-5761-4698-8B0D-0650A70B6949}"/>
            </a:ext>
          </a:extLst>
        </xdr:cNvPr>
        <xdr:cNvSpPr>
          <a:spLocks noChangeShapeType="1"/>
        </xdr:cNvSpPr>
      </xdr:nvSpPr>
      <xdr:spPr bwMode="auto">
        <a:xfrm>
          <a:off x="4243387" y="3046096"/>
          <a:ext cx="632460" cy="1581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7620</xdr:colOff>
      <xdr:row>19</xdr:row>
      <xdr:rowOff>119062</xdr:rowOff>
    </xdr:from>
    <xdr:to>
      <xdr:col>6</xdr:col>
      <xdr:colOff>0</xdr:colOff>
      <xdr:row>20</xdr:row>
      <xdr:rowOff>126682</xdr:rowOff>
    </xdr:to>
    <xdr:sp macro="" textlink="">
      <xdr:nvSpPr>
        <xdr:cNvPr id="30" name="Line 33">
          <a:extLst>
            <a:ext uri="{FF2B5EF4-FFF2-40B4-BE49-F238E27FC236}">
              <a16:creationId xmlns="" xmlns:a16="http://schemas.microsoft.com/office/drawing/2014/main" id="{AF22BDFC-BC96-4632-BC4E-5805417365A6}"/>
            </a:ext>
          </a:extLst>
        </xdr:cNvPr>
        <xdr:cNvSpPr>
          <a:spLocks noChangeShapeType="1"/>
        </xdr:cNvSpPr>
      </xdr:nvSpPr>
      <xdr:spPr bwMode="auto">
        <a:xfrm flipV="1">
          <a:off x="4246245" y="3219450"/>
          <a:ext cx="640080" cy="18859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20</xdr:row>
      <xdr:rowOff>126682</xdr:rowOff>
    </xdr:from>
    <xdr:to>
      <xdr:col>5</xdr:col>
      <xdr:colOff>632460</xdr:colOff>
      <xdr:row>21</xdr:row>
      <xdr:rowOff>103822</xdr:rowOff>
    </xdr:to>
    <xdr:sp macro="" textlink="">
      <xdr:nvSpPr>
        <xdr:cNvPr id="31" name="Line 34">
          <a:extLst>
            <a:ext uri="{FF2B5EF4-FFF2-40B4-BE49-F238E27FC236}">
              <a16:creationId xmlns="" xmlns:a16="http://schemas.microsoft.com/office/drawing/2014/main" id="{00878EAB-5761-4698-8B0D-0650A70B6949}"/>
            </a:ext>
          </a:extLst>
        </xdr:cNvPr>
        <xdr:cNvSpPr>
          <a:spLocks noChangeShapeType="1"/>
        </xdr:cNvSpPr>
      </xdr:nvSpPr>
      <xdr:spPr bwMode="auto">
        <a:xfrm>
          <a:off x="4238625" y="3408045"/>
          <a:ext cx="632460" cy="1581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4762</xdr:colOff>
      <xdr:row>26</xdr:row>
      <xdr:rowOff>80962</xdr:rowOff>
    </xdr:from>
    <xdr:to>
      <xdr:col>6</xdr:col>
      <xdr:colOff>50482</xdr:colOff>
      <xdr:row>27</xdr:row>
      <xdr:rowOff>88582</xdr:rowOff>
    </xdr:to>
    <xdr:sp macro="" textlink="">
      <xdr:nvSpPr>
        <xdr:cNvPr id="38" name="Line 41">
          <a:extLst>
            <a:ext uri="{FF2B5EF4-FFF2-40B4-BE49-F238E27FC236}">
              <a16:creationId xmlns="" xmlns:a16="http://schemas.microsoft.com/office/drawing/2014/main" id="{DAE41048-E0EC-41A4-8E66-E2E1133C46B9}"/>
            </a:ext>
          </a:extLst>
        </xdr:cNvPr>
        <xdr:cNvSpPr>
          <a:spLocks noChangeShapeType="1"/>
        </xdr:cNvSpPr>
      </xdr:nvSpPr>
      <xdr:spPr bwMode="auto">
        <a:xfrm flipV="1">
          <a:off x="4243387" y="4629150"/>
          <a:ext cx="693420" cy="18859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xdr:colOff>
      <xdr:row>27</xdr:row>
      <xdr:rowOff>98107</xdr:rowOff>
    </xdr:from>
    <xdr:to>
      <xdr:col>6</xdr:col>
      <xdr:colOff>36195</xdr:colOff>
      <xdr:row>28</xdr:row>
      <xdr:rowOff>98107</xdr:rowOff>
    </xdr:to>
    <xdr:sp macro="" textlink="">
      <xdr:nvSpPr>
        <xdr:cNvPr id="39" name="Line 42">
          <a:extLst>
            <a:ext uri="{FF2B5EF4-FFF2-40B4-BE49-F238E27FC236}">
              <a16:creationId xmlns="" xmlns:a16="http://schemas.microsoft.com/office/drawing/2014/main" id="{74328648-F470-47EC-917F-EED9F27FC1A1}"/>
            </a:ext>
          </a:extLst>
        </xdr:cNvPr>
        <xdr:cNvSpPr>
          <a:spLocks noChangeShapeType="1"/>
        </xdr:cNvSpPr>
      </xdr:nvSpPr>
      <xdr:spPr bwMode="auto">
        <a:xfrm>
          <a:off x="4274820" y="4827270"/>
          <a:ext cx="647700" cy="1809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28</xdr:row>
      <xdr:rowOff>109537</xdr:rowOff>
    </xdr:from>
    <xdr:to>
      <xdr:col>6</xdr:col>
      <xdr:colOff>45720</xdr:colOff>
      <xdr:row>29</xdr:row>
      <xdr:rowOff>117157</xdr:rowOff>
    </xdr:to>
    <xdr:sp macro="" textlink="">
      <xdr:nvSpPr>
        <xdr:cNvPr id="40" name="Line 41">
          <a:extLst>
            <a:ext uri="{FF2B5EF4-FFF2-40B4-BE49-F238E27FC236}">
              <a16:creationId xmlns="" xmlns:a16="http://schemas.microsoft.com/office/drawing/2014/main" id="{DAE41048-E0EC-41A4-8E66-E2E1133C46B9}"/>
            </a:ext>
          </a:extLst>
        </xdr:cNvPr>
        <xdr:cNvSpPr>
          <a:spLocks noChangeShapeType="1"/>
        </xdr:cNvSpPr>
      </xdr:nvSpPr>
      <xdr:spPr bwMode="auto">
        <a:xfrm flipV="1">
          <a:off x="4238625" y="5019675"/>
          <a:ext cx="693420" cy="18859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45720</xdr:colOff>
      <xdr:row>29</xdr:row>
      <xdr:rowOff>117157</xdr:rowOff>
    </xdr:from>
    <xdr:to>
      <xdr:col>6</xdr:col>
      <xdr:colOff>45720</xdr:colOff>
      <xdr:row>30</xdr:row>
      <xdr:rowOff>117157</xdr:rowOff>
    </xdr:to>
    <xdr:sp macro="" textlink="">
      <xdr:nvSpPr>
        <xdr:cNvPr id="41" name="Line 42">
          <a:extLst>
            <a:ext uri="{FF2B5EF4-FFF2-40B4-BE49-F238E27FC236}">
              <a16:creationId xmlns="" xmlns:a16="http://schemas.microsoft.com/office/drawing/2014/main" id="{74328648-F470-47EC-917F-EED9F27FC1A1}"/>
            </a:ext>
          </a:extLst>
        </xdr:cNvPr>
        <xdr:cNvSpPr>
          <a:spLocks noChangeShapeType="1"/>
        </xdr:cNvSpPr>
      </xdr:nvSpPr>
      <xdr:spPr bwMode="auto">
        <a:xfrm>
          <a:off x="4284345" y="5208270"/>
          <a:ext cx="647700" cy="1809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30</xdr:row>
      <xdr:rowOff>119063</xdr:rowOff>
    </xdr:from>
    <xdr:to>
      <xdr:col>6</xdr:col>
      <xdr:colOff>45720</xdr:colOff>
      <xdr:row>31</xdr:row>
      <xdr:rowOff>126683</xdr:rowOff>
    </xdr:to>
    <xdr:sp macro="" textlink="">
      <xdr:nvSpPr>
        <xdr:cNvPr id="42" name="Line 41">
          <a:extLst>
            <a:ext uri="{FF2B5EF4-FFF2-40B4-BE49-F238E27FC236}">
              <a16:creationId xmlns="" xmlns:a16="http://schemas.microsoft.com/office/drawing/2014/main" id="{DAE41048-E0EC-41A4-8E66-E2E1133C46B9}"/>
            </a:ext>
          </a:extLst>
        </xdr:cNvPr>
        <xdr:cNvSpPr>
          <a:spLocks noChangeShapeType="1"/>
        </xdr:cNvSpPr>
      </xdr:nvSpPr>
      <xdr:spPr bwMode="auto">
        <a:xfrm flipV="1">
          <a:off x="4238625" y="5391151"/>
          <a:ext cx="693420" cy="18859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45720</xdr:colOff>
      <xdr:row>31</xdr:row>
      <xdr:rowOff>126683</xdr:rowOff>
    </xdr:from>
    <xdr:to>
      <xdr:col>6</xdr:col>
      <xdr:colOff>45720</xdr:colOff>
      <xdr:row>32</xdr:row>
      <xdr:rowOff>126683</xdr:rowOff>
    </xdr:to>
    <xdr:sp macro="" textlink="">
      <xdr:nvSpPr>
        <xdr:cNvPr id="43" name="Line 42">
          <a:extLst>
            <a:ext uri="{FF2B5EF4-FFF2-40B4-BE49-F238E27FC236}">
              <a16:creationId xmlns="" xmlns:a16="http://schemas.microsoft.com/office/drawing/2014/main" id="{74328648-F470-47EC-917F-EED9F27FC1A1}"/>
            </a:ext>
          </a:extLst>
        </xdr:cNvPr>
        <xdr:cNvSpPr>
          <a:spLocks noChangeShapeType="1"/>
        </xdr:cNvSpPr>
      </xdr:nvSpPr>
      <xdr:spPr bwMode="auto">
        <a:xfrm>
          <a:off x="4284345" y="5579746"/>
          <a:ext cx="647700" cy="1809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xdr:col>
      <xdr:colOff>290512</xdr:colOff>
      <xdr:row>5</xdr:row>
      <xdr:rowOff>33338</xdr:rowOff>
    </xdr:from>
    <xdr:to>
      <xdr:col>7</xdr:col>
      <xdr:colOff>233148</xdr:colOff>
      <xdr:row>10</xdr:row>
      <xdr:rowOff>33352</xdr:rowOff>
    </xdr:to>
    <xdr:pic>
      <xdr:nvPicPr>
        <xdr:cNvPr id="44" name="Picture 43"/>
        <xdr:cNvPicPr>
          <a:picLocks noChangeAspect="1"/>
        </xdr:cNvPicPr>
      </xdr:nvPicPr>
      <xdr:blipFill>
        <a:blip xmlns:r="http://schemas.openxmlformats.org/officeDocument/2006/relationships" r:embed="rId1"/>
        <a:stretch>
          <a:fillRect/>
        </a:stretch>
      </xdr:blipFill>
      <xdr:spPr>
        <a:xfrm>
          <a:off x="4529137" y="981076"/>
          <a:ext cx="1238036" cy="10001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0"/>
  <sheetViews>
    <sheetView tabSelected="1" workbookViewId="0">
      <selection activeCell="K15" sqref="K15"/>
    </sheetView>
  </sheetViews>
  <sheetFormatPr defaultColWidth="8.86328125" defaultRowHeight="12.75" x14ac:dyDescent="0.35"/>
  <cols>
    <col min="1" max="1" width="29.73046875" style="1" bestFit="1" customWidth="1"/>
    <col min="2" max="2" width="10.59765625" style="1" bestFit="1" customWidth="1"/>
    <col min="3" max="3" width="9.265625" style="1" bestFit="1" customWidth="1"/>
    <col min="4" max="4" width="9.1328125" style="3" customWidth="1"/>
    <col min="5" max="5" width="11.265625" style="1" bestFit="1" customWidth="1"/>
    <col min="6" max="6" width="6.265625" style="1" bestFit="1" customWidth="1"/>
    <col min="7" max="7" width="12.265625" style="1" bestFit="1" customWidth="1"/>
    <col min="8" max="8" width="9.1328125" style="3" customWidth="1"/>
    <col min="9" max="11" width="8.86328125" style="1"/>
    <col min="12" max="12" width="5.265625" style="1" bestFit="1" customWidth="1"/>
    <col min="13" max="16384" width="8.86328125" style="1"/>
  </cols>
  <sheetData>
    <row r="1" spans="1:23" x14ac:dyDescent="0.35">
      <c r="A1" s="22" t="s">
        <v>13</v>
      </c>
      <c r="B1" s="23"/>
      <c r="C1" s="23"/>
      <c r="D1" s="23"/>
      <c r="E1" s="23"/>
      <c r="F1" s="23"/>
      <c r="G1" s="23"/>
      <c r="H1" s="23"/>
      <c r="I1" s="23"/>
      <c r="J1" s="23"/>
      <c r="K1" s="24"/>
    </row>
    <row r="2" spans="1:23" x14ac:dyDescent="0.35">
      <c r="A2" s="25"/>
      <c r="B2" s="26"/>
      <c r="C2" s="26"/>
      <c r="D2" s="26"/>
      <c r="E2" s="26"/>
      <c r="F2" s="26"/>
      <c r="G2" s="26"/>
      <c r="H2" s="26"/>
      <c r="I2" s="26"/>
      <c r="J2" s="26"/>
      <c r="K2" s="27"/>
    </row>
    <row r="3" spans="1:23" x14ac:dyDescent="0.35">
      <c r="A3" s="25"/>
      <c r="B3" s="26"/>
      <c r="C3" s="26"/>
      <c r="D3" s="26"/>
      <c r="E3" s="26"/>
      <c r="F3" s="26"/>
      <c r="G3" s="26"/>
      <c r="H3" s="26"/>
      <c r="I3" s="26"/>
      <c r="J3" s="26"/>
      <c r="K3" s="27"/>
    </row>
    <row r="4" spans="1:23" x14ac:dyDescent="0.35">
      <c r="A4" s="25"/>
      <c r="B4" s="26"/>
      <c r="C4" s="26"/>
      <c r="D4" s="26"/>
      <c r="E4" s="26"/>
      <c r="F4" s="26"/>
      <c r="G4" s="26"/>
      <c r="H4" s="26"/>
      <c r="I4" s="26"/>
      <c r="J4" s="26"/>
      <c r="K4" s="27"/>
    </row>
    <row r="5" spans="1:23" ht="13.15" thickBot="1" x14ac:dyDescent="0.4">
      <c r="A5" s="28"/>
      <c r="B5" s="29"/>
      <c r="C5" s="29"/>
      <c r="D5" s="29"/>
      <c r="E5" s="29"/>
      <c r="F5" s="29"/>
      <c r="G5" s="29"/>
      <c r="H5" s="29"/>
      <c r="I5" s="29"/>
      <c r="J5" s="29"/>
      <c r="K5" s="30"/>
    </row>
    <row r="7" spans="1:23" ht="15.75" x14ac:dyDescent="0.35">
      <c r="A7" s="49" t="s">
        <v>2</v>
      </c>
      <c r="B7" s="6">
        <v>1.1000000000000001</v>
      </c>
      <c r="E7" s="56" t="s">
        <v>1</v>
      </c>
      <c r="F7" s="55"/>
      <c r="M7" s="3"/>
      <c r="N7" s="3"/>
    </row>
    <row r="8" spans="1:23" ht="15.75" x14ac:dyDescent="0.35">
      <c r="A8" s="49" t="s">
        <v>3</v>
      </c>
      <c r="B8" s="6">
        <v>0.97</v>
      </c>
      <c r="E8" s="54" t="s">
        <v>18</v>
      </c>
      <c r="F8" s="7">
        <f>(B9-B8)/(B9*(B7-B8))</f>
        <v>0.65312046444121918</v>
      </c>
      <c r="M8" s="3"/>
      <c r="N8" s="3"/>
    </row>
    <row r="9" spans="1:23" ht="15.75" x14ac:dyDescent="0.35">
      <c r="A9" s="49" t="s">
        <v>4</v>
      </c>
      <c r="B9" s="21">
        <v>1.06</v>
      </c>
      <c r="E9" s="54" t="s">
        <v>19</v>
      </c>
      <c r="F9" s="7">
        <f>(B7-B9)/(B9*(B7-B8))</f>
        <v>0.29027576197387517</v>
      </c>
      <c r="O9" s="3"/>
      <c r="P9" s="3"/>
      <c r="Q9" s="3"/>
    </row>
    <row r="10" spans="1:23" ht="15.75" x14ac:dyDescent="0.35">
      <c r="A10" s="49" t="s">
        <v>5</v>
      </c>
      <c r="B10" s="2">
        <v>50</v>
      </c>
      <c r="O10" s="3"/>
      <c r="P10" s="3"/>
      <c r="Q10" s="3"/>
    </row>
    <row r="11" spans="1:23" ht="15.75" x14ac:dyDescent="0.35">
      <c r="A11" s="49" t="s">
        <v>6</v>
      </c>
      <c r="B11" s="2">
        <v>50</v>
      </c>
      <c r="O11" s="3"/>
      <c r="P11" s="3"/>
      <c r="Q11" s="3"/>
    </row>
    <row r="12" spans="1:23" ht="15.75" x14ac:dyDescent="0.35">
      <c r="A12" s="49" t="s">
        <v>11</v>
      </c>
      <c r="B12" s="2">
        <v>3</v>
      </c>
      <c r="O12" s="3"/>
      <c r="P12" s="3"/>
      <c r="Q12" s="3"/>
    </row>
    <row r="13" spans="1:23" x14ac:dyDescent="0.35">
      <c r="A13" s="3"/>
      <c r="B13" s="3"/>
      <c r="C13" s="3"/>
      <c r="R13" s="3"/>
      <c r="S13" s="3"/>
      <c r="T13" s="3"/>
      <c r="U13" s="3"/>
      <c r="V13" s="3"/>
      <c r="W13" s="3"/>
    </row>
    <row r="14" spans="1:23" x14ac:dyDescent="0.35">
      <c r="A14" s="3"/>
      <c r="B14" s="3"/>
      <c r="C14" s="3"/>
      <c r="R14" s="3"/>
      <c r="S14" s="3"/>
      <c r="T14" s="3"/>
      <c r="U14" s="3"/>
      <c r="V14" s="3"/>
      <c r="W14" s="3"/>
    </row>
    <row r="15" spans="1:23" x14ac:dyDescent="0.35">
      <c r="A15" s="3"/>
      <c r="B15" s="3"/>
      <c r="C15" s="3"/>
      <c r="R15" s="3"/>
      <c r="S15" s="3"/>
      <c r="T15" s="3"/>
      <c r="U15" s="3"/>
      <c r="V15" s="3"/>
      <c r="W15" s="3"/>
    </row>
    <row r="16" spans="1:23" x14ac:dyDescent="0.35">
      <c r="A16" s="52" t="s">
        <v>0</v>
      </c>
      <c r="B16" s="52"/>
      <c r="C16" s="52"/>
      <c r="D16" s="52"/>
      <c r="E16" s="52"/>
      <c r="F16" s="52"/>
      <c r="G16" s="52"/>
      <c r="R16" s="3"/>
      <c r="S16" s="3"/>
      <c r="T16" s="3"/>
      <c r="U16" s="3"/>
      <c r="V16" s="3"/>
      <c r="W16" s="3"/>
    </row>
    <row r="17" spans="1:23" ht="12.75" customHeight="1" x14ac:dyDescent="0.35">
      <c r="A17" s="52"/>
      <c r="B17" s="52"/>
      <c r="C17" s="52"/>
      <c r="D17" s="52"/>
      <c r="E17" s="52"/>
      <c r="F17" s="52"/>
      <c r="G17" s="52"/>
      <c r="R17" s="3"/>
      <c r="S17" s="3"/>
      <c r="T17" s="3"/>
      <c r="U17" s="3"/>
      <c r="V17" s="3"/>
      <c r="W17" s="3"/>
    </row>
    <row r="18" spans="1:23" s="3" customFormat="1" ht="12.75" customHeight="1" x14ac:dyDescent="0.4">
      <c r="A18" s="50" t="s">
        <v>7</v>
      </c>
      <c r="B18" s="9"/>
      <c r="C18" s="50" t="s">
        <v>8</v>
      </c>
      <c r="D18" s="5"/>
      <c r="E18" s="50" t="s">
        <v>9</v>
      </c>
      <c r="F18" s="5"/>
      <c r="G18" s="50" t="s">
        <v>10</v>
      </c>
      <c r="I18" s="1"/>
      <c r="J18" s="1"/>
      <c r="K18" s="1"/>
      <c r="L18" s="1"/>
      <c r="M18" s="1"/>
      <c r="N18" s="1"/>
      <c r="O18" s="1"/>
      <c r="P18" s="1"/>
      <c r="Q18" s="1"/>
      <c r="R18" s="1"/>
      <c r="S18" s="1"/>
      <c r="T18" s="1"/>
      <c r="U18" s="1"/>
      <c r="V18" s="1"/>
      <c r="W18" s="1"/>
    </row>
    <row r="19" spans="1:23" s="3" customFormat="1" ht="13.15" x14ac:dyDescent="0.4">
      <c r="A19" s="10"/>
      <c r="B19" s="9"/>
      <c r="C19" s="5"/>
      <c r="D19" s="5"/>
      <c r="E19" s="5"/>
      <c r="F19" s="5"/>
      <c r="G19" s="5"/>
      <c r="I19" s="1"/>
      <c r="J19" s="1"/>
      <c r="K19" s="1"/>
      <c r="L19" s="1"/>
      <c r="M19" s="1"/>
      <c r="N19" s="1"/>
      <c r="O19" s="1"/>
      <c r="P19" s="1"/>
      <c r="Q19" s="1"/>
      <c r="R19" s="1"/>
      <c r="S19" s="1"/>
      <c r="T19" s="1"/>
      <c r="U19" s="1"/>
      <c r="V19" s="1"/>
      <c r="W19" s="1"/>
    </row>
    <row r="20" spans="1:23" s="3" customFormat="1" ht="13.15" x14ac:dyDescent="0.4">
      <c r="A20" s="4"/>
      <c r="C20" s="4"/>
      <c r="D20" s="4"/>
      <c r="E20" s="4"/>
      <c r="F20" s="9"/>
      <c r="G20" s="5">
        <f>E21*$B$7</f>
        <v>66.550000000000026</v>
      </c>
      <c r="I20" s="1"/>
      <c r="J20" s="1"/>
      <c r="K20" s="1"/>
      <c r="L20" s="1"/>
      <c r="M20" s="1"/>
      <c r="N20" s="1"/>
      <c r="O20" s="1"/>
      <c r="P20" s="1"/>
      <c r="Q20" s="1"/>
      <c r="R20" s="1"/>
      <c r="S20" s="1"/>
      <c r="T20" s="1"/>
      <c r="U20" s="1"/>
      <c r="V20" s="1"/>
      <c r="W20" s="1"/>
    </row>
    <row r="21" spans="1:23" s="3" customFormat="1" x14ac:dyDescent="0.35">
      <c r="A21" s="4"/>
      <c r="B21" s="4"/>
      <c r="C21" s="8"/>
      <c r="D21" s="4"/>
      <c r="E21" s="5">
        <f>C22*$B$7</f>
        <v>60.500000000000014</v>
      </c>
      <c r="F21" s="4"/>
      <c r="G21" s="4"/>
      <c r="I21" s="1"/>
      <c r="J21" s="1"/>
      <c r="K21" s="1"/>
      <c r="L21" s="1"/>
      <c r="M21" s="1"/>
      <c r="N21" s="1"/>
      <c r="O21" s="1"/>
      <c r="P21" s="1"/>
      <c r="Q21" s="1"/>
      <c r="R21" s="1"/>
      <c r="S21" s="1"/>
      <c r="T21" s="1"/>
      <c r="U21" s="1"/>
      <c r="V21" s="1"/>
      <c r="W21" s="1"/>
    </row>
    <row r="22" spans="1:23" s="3" customFormat="1" ht="12.75" customHeight="1" x14ac:dyDescent="0.35">
      <c r="A22" s="4"/>
      <c r="B22" s="4"/>
      <c r="C22" s="5">
        <f>A23*B7</f>
        <v>55.000000000000007</v>
      </c>
      <c r="D22" s="4"/>
      <c r="E22" s="10"/>
      <c r="F22" s="4"/>
      <c r="G22" s="5">
        <f>E23*$B$7</f>
        <v>58.685000000000016</v>
      </c>
      <c r="I22" s="1"/>
      <c r="J22" s="1"/>
      <c r="K22" s="1"/>
      <c r="L22" s="1"/>
      <c r="M22" s="1"/>
      <c r="N22" s="1"/>
      <c r="O22" s="1"/>
      <c r="P22" s="1"/>
      <c r="Q22" s="1"/>
      <c r="R22" s="1"/>
      <c r="S22" s="1"/>
      <c r="T22" s="1"/>
      <c r="U22" s="1"/>
      <c r="V22" s="1"/>
      <c r="W22" s="1"/>
    </row>
    <row r="23" spans="1:23" s="3" customFormat="1" ht="12.75" customHeight="1" x14ac:dyDescent="0.35">
      <c r="A23" s="4">
        <f>B10</f>
        <v>50</v>
      </c>
      <c r="B23" s="4"/>
      <c r="C23" s="8"/>
      <c r="D23" s="4"/>
      <c r="E23" s="5">
        <f>C22*B8</f>
        <v>53.350000000000009</v>
      </c>
      <c r="F23" s="4"/>
      <c r="G23" s="4"/>
      <c r="I23" s="1"/>
      <c r="J23" s="1"/>
      <c r="K23" s="1"/>
      <c r="L23" s="1"/>
      <c r="M23" s="1"/>
      <c r="N23" s="1"/>
      <c r="O23" s="1"/>
      <c r="P23" s="1"/>
      <c r="Q23" s="1"/>
      <c r="R23" s="1"/>
      <c r="S23" s="1"/>
      <c r="T23" s="1"/>
      <c r="U23" s="1"/>
      <c r="V23" s="1"/>
      <c r="W23" s="1"/>
    </row>
    <row r="24" spans="1:23" s="3" customFormat="1" x14ac:dyDescent="0.35">
      <c r="A24" s="4"/>
      <c r="B24" s="4"/>
      <c r="C24" s="5">
        <f>A23*B8</f>
        <v>48.5</v>
      </c>
      <c r="D24" s="4"/>
      <c r="E24" s="10"/>
      <c r="F24" s="4"/>
      <c r="G24" s="5">
        <f>E23*B8</f>
        <v>51.749500000000005</v>
      </c>
      <c r="I24" s="1"/>
      <c r="J24" s="1"/>
      <c r="K24" s="1"/>
      <c r="L24" s="1"/>
      <c r="M24" s="1"/>
      <c r="N24" s="1"/>
      <c r="O24" s="1"/>
      <c r="P24" s="1"/>
      <c r="Q24" s="1"/>
      <c r="R24" s="1"/>
      <c r="S24" s="1"/>
      <c r="T24" s="1"/>
      <c r="U24" s="1"/>
      <c r="V24" s="1"/>
      <c r="W24" s="1"/>
    </row>
    <row r="25" spans="1:23" s="3" customFormat="1" x14ac:dyDescent="0.35">
      <c r="A25" s="4"/>
      <c r="B25" s="4"/>
      <c r="C25" s="4"/>
      <c r="D25" s="4"/>
      <c r="E25" s="5">
        <f>C24*B8</f>
        <v>47.045000000000002</v>
      </c>
      <c r="F25" s="4"/>
      <c r="G25" s="4"/>
      <c r="I25" s="1"/>
      <c r="J25" s="1"/>
      <c r="K25" s="1"/>
      <c r="L25" s="1"/>
      <c r="M25" s="1"/>
      <c r="N25" s="1"/>
      <c r="O25" s="1"/>
      <c r="P25" s="1"/>
      <c r="Q25" s="1"/>
      <c r="R25" s="1"/>
      <c r="S25" s="1"/>
      <c r="T25" s="1"/>
      <c r="U25" s="1"/>
      <c r="V25" s="1"/>
      <c r="W25" s="1"/>
    </row>
    <row r="26" spans="1:23" s="3" customFormat="1" ht="12.75" customHeight="1" x14ac:dyDescent="0.35">
      <c r="A26" s="4"/>
      <c r="B26" s="4"/>
      <c r="C26" s="4"/>
      <c r="D26" s="8"/>
      <c r="E26" s="4"/>
      <c r="F26" s="4"/>
      <c r="G26" s="5">
        <f>E25*B8</f>
        <v>45.633650000000003</v>
      </c>
      <c r="I26" s="1"/>
      <c r="J26" s="1"/>
      <c r="K26" s="1"/>
      <c r="L26" s="1"/>
      <c r="M26" s="1"/>
      <c r="N26" s="1"/>
      <c r="O26" s="1"/>
      <c r="P26" s="1"/>
      <c r="Q26" s="1"/>
      <c r="R26" s="1"/>
      <c r="S26" s="1"/>
      <c r="T26" s="1"/>
      <c r="U26" s="1"/>
      <c r="V26" s="1"/>
      <c r="W26" s="1"/>
    </row>
    <row r="27" spans="1:23" s="3" customFormat="1" ht="12.75" customHeight="1" x14ac:dyDescent="0.35">
      <c r="A27" s="4"/>
      <c r="B27" s="4"/>
      <c r="C27" s="4"/>
      <c r="D27" s="8"/>
      <c r="E27" s="4"/>
      <c r="F27" s="4"/>
      <c r="G27" s="5"/>
      <c r="I27" s="1"/>
      <c r="J27" s="1"/>
      <c r="K27" s="1"/>
      <c r="L27" s="1"/>
      <c r="M27" s="1"/>
      <c r="N27" s="1"/>
      <c r="O27" s="1"/>
      <c r="P27" s="1"/>
      <c r="Q27" s="1"/>
      <c r="R27" s="1"/>
      <c r="S27" s="1"/>
      <c r="T27" s="1"/>
      <c r="U27" s="1"/>
      <c r="V27" s="1"/>
      <c r="W27" s="1"/>
    </row>
    <row r="28" spans="1:23" s="3" customFormat="1" ht="12.75" customHeight="1" x14ac:dyDescent="0.35">
      <c r="A28" s="52" t="s">
        <v>17</v>
      </c>
      <c r="B28" s="52"/>
      <c r="C28" s="52"/>
      <c r="D28" s="52"/>
      <c r="E28" s="52"/>
      <c r="F28" s="52"/>
      <c r="G28" s="52"/>
      <c r="I28" s="1"/>
      <c r="J28" s="1"/>
      <c r="K28" s="1"/>
      <c r="L28" s="1"/>
      <c r="M28" s="1"/>
      <c r="N28" s="1"/>
      <c r="O28" s="1"/>
      <c r="P28" s="1"/>
      <c r="Q28" s="1"/>
      <c r="R28" s="1"/>
      <c r="S28" s="1"/>
      <c r="T28" s="1"/>
      <c r="U28" s="1"/>
      <c r="V28" s="1"/>
      <c r="W28" s="1"/>
    </row>
    <row r="29" spans="1:23" s="3" customFormat="1" ht="13.15" customHeight="1" x14ac:dyDescent="0.35">
      <c r="A29" s="52"/>
      <c r="B29" s="52"/>
      <c r="C29" s="52"/>
      <c r="D29" s="52"/>
      <c r="E29" s="52"/>
      <c r="F29" s="52"/>
      <c r="G29" s="52"/>
      <c r="I29" s="1"/>
      <c r="J29" s="1"/>
      <c r="K29" s="1"/>
      <c r="L29" s="1"/>
      <c r="M29" s="1"/>
      <c r="N29" s="1"/>
      <c r="O29" s="1"/>
      <c r="P29" s="1"/>
      <c r="Q29" s="1"/>
      <c r="R29" s="1"/>
      <c r="S29" s="1"/>
      <c r="T29" s="1"/>
      <c r="U29" s="1"/>
      <c r="V29" s="1"/>
      <c r="W29" s="1"/>
    </row>
    <row r="30" spans="1:23" s="3" customFormat="1" ht="13.15" customHeight="1" x14ac:dyDescent="0.4">
      <c r="A30" s="50" t="s">
        <v>7</v>
      </c>
      <c r="B30" s="9"/>
      <c r="C30" s="50" t="s">
        <v>8</v>
      </c>
      <c r="D30" s="5"/>
      <c r="E30" s="50" t="s">
        <v>9</v>
      </c>
      <c r="F30" s="5"/>
      <c r="G30" s="50" t="s">
        <v>10</v>
      </c>
      <c r="I30" s="1"/>
      <c r="J30" s="1"/>
      <c r="K30" s="1"/>
      <c r="L30" s="1"/>
      <c r="M30" s="1"/>
      <c r="N30" s="1"/>
      <c r="O30" s="1"/>
      <c r="P30" s="1"/>
      <c r="Q30" s="1"/>
      <c r="R30" s="1"/>
      <c r="S30" s="1"/>
      <c r="T30" s="1"/>
      <c r="U30" s="1"/>
      <c r="V30" s="1"/>
      <c r="W30" s="1"/>
    </row>
    <row r="31" spans="1:23" s="3" customFormat="1" ht="13.15" x14ac:dyDescent="0.4">
      <c r="A31" s="4"/>
      <c r="C31" s="4"/>
      <c r="D31" s="4"/>
      <c r="E31" s="4"/>
      <c r="F31" s="9"/>
      <c r="G31" s="5">
        <f>MAX(($B$11-G20),0)</f>
        <v>0</v>
      </c>
      <c r="I31" s="1"/>
      <c r="J31" s="1"/>
      <c r="K31" s="1"/>
      <c r="L31" s="1"/>
      <c r="M31" s="1"/>
      <c r="N31" s="1"/>
      <c r="O31" s="1"/>
      <c r="P31" s="1"/>
      <c r="Q31" s="1"/>
      <c r="R31" s="1"/>
      <c r="S31" s="1"/>
      <c r="T31" s="1"/>
      <c r="U31" s="1"/>
      <c r="V31" s="1"/>
      <c r="W31" s="1"/>
    </row>
    <row r="32" spans="1:23" s="3" customFormat="1" x14ac:dyDescent="0.35">
      <c r="A32" s="4"/>
      <c r="B32" s="4"/>
      <c r="C32" s="8"/>
      <c r="D32" s="4"/>
      <c r="E32" s="5">
        <f>$F$8*G31+$F$9*G33</f>
        <v>0</v>
      </c>
      <c r="F32" s="4"/>
      <c r="G32" s="5"/>
      <c r="I32" s="1"/>
      <c r="J32" s="1"/>
      <c r="K32" s="1"/>
      <c r="L32" s="1"/>
      <c r="M32" s="1"/>
      <c r="N32" s="1"/>
      <c r="O32" s="1"/>
      <c r="P32" s="1"/>
      <c r="Q32" s="1"/>
      <c r="R32" s="1"/>
      <c r="S32" s="1"/>
      <c r="T32" s="1"/>
      <c r="U32" s="1"/>
      <c r="V32" s="1"/>
      <c r="W32" s="1"/>
    </row>
    <row r="33" spans="1:23" s="3" customFormat="1" x14ac:dyDescent="0.35">
      <c r="A33" s="4"/>
      <c r="B33" s="4"/>
      <c r="C33" s="5">
        <f>$F$8*E32+$F$9*E34</f>
        <v>0</v>
      </c>
      <c r="D33" s="4"/>
      <c r="E33" s="5"/>
      <c r="F33" s="4"/>
      <c r="G33" s="5">
        <f>MAX(($B$11-G22),0)</f>
        <v>0</v>
      </c>
      <c r="I33" s="1"/>
      <c r="J33" s="1"/>
      <c r="K33" s="1"/>
      <c r="L33" s="1"/>
      <c r="M33" s="1"/>
      <c r="N33" s="1"/>
      <c r="O33" s="1"/>
      <c r="P33" s="1"/>
      <c r="Q33" s="1"/>
      <c r="R33" s="1"/>
      <c r="S33" s="1"/>
      <c r="T33" s="1"/>
      <c r="U33" s="1"/>
      <c r="V33" s="1"/>
      <c r="W33" s="1"/>
    </row>
    <row r="34" spans="1:23" s="3" customFormat="1" ht="15.75" x14ac:dyDescent="0.35">
      <c r="A34" s="51">
        <f>$F$8*C33+$F$9*C35</f>
        <v>0.10679498680653512</v>
      </c>
      <c r="B34" s="4"/>
      <c r="C34" s="5"/>
      <c r="D34" s="4"/>
      <c r="E34" s="5">
        <f>$F$8*G33+$F$9*G35</f>
        <v>0</v>
      </c>
      <c r="F34" s="4"/>
      <c r="G34" s="5"/>
      <c r="I34" s="1"/>
      <c r="J34" s="1"/>
      <c r="K34" s="1"/>
      <c r="L34" s="1"/>
      <c r="M34" s="1"/>
      <c r="N34" s="1"/>
      <c r="O34" s="1"/>
      <c r="P34" s="1"/>
      <c r="Q34" s="1"/>
      <c r="R34" s="1"/>
      <c r="S34" s="1"/>
      <c r="T34" s="1"/>
      <c r="U34" s="1"/>
      <c r="V34" s="1"/>
      <c r="W34" s="1"/>
    </row>
    <row r="35" spans="1:23" s="3" customFormat="1" x14ac:dyDescent="0.35">
      <c r="A35" s="4"/>
      <c r="B35" s="4"/>
      <c r="C35" s="5">
        <f>$F$8*E34+$F$9*E36</f>
        <v>0.3679087295485135</v>
      </c>
      <c r="D35" s="4"/>
      <c r="E35" s="5"/>
      <c r="F35" s="4"/>
      <c r="G35" s="5">
        <f>MAX(($B$11-G24),0)</f>
        <v>0</v>
      </c>
      <c r="I35" s="1"/>
      <c r="J35" s="1"/>
      <c r="K35" s="1"/>
      <c r="L35" s="1"/>
      <c r="M35" s="1"/>
      <c r="N35" s="1"/>
      <c r="O35" s="1"/>
      <c r="P35" s="1"/>
      <c r="Q35" s="1"/>
      <c r="R35" s="1"/>
      <c r="S35" s="1"/>
      <c r="T35" s="1"/>
      <c r="U35" s="1"/>
      <c r="V35" s="1"/>
      <c r="W35" s="1"/>
    </row>
    <row r="36" spans="1:23" s="3" customFormat="1" x14ac:dyDescent="0.35">
      <c r="A36" s="4"/>
      <c r="B36" s="4"/>
      <c r="C36" s="4"/>
      <c r="D36" s="4"/>
      <c r="E36" s="5">
        <f>$F$8*G35+$F$9*G37</f>
        <v>1.267445573294629</v>
      </c>
      <c r="F36" s="4"/>
      <c r="G36" s="5"/>
      <c r="I36" s="1"/>
      <c r="J36" s="1"/>
      <c r="K36" s="1"/>
      <c r="L36" s="1"/>
      <c r="M36" s="1"/>
      <c r="N36" s="1"/>
      <c r="O36" s="1"/>
      <c r="P36" s="1"/>
      <c r="Q36" s="1"/>
      <c r="R36" s="1"/>
      <c r="S36" s="1"/>
      <c r="T36" s="1"/>
      <c r="U36" s="1"/>
      <c r="V36" s="1"/>
      <c r="W36" s="1"/>
    </row>
    <row r="37" spans="1:23" s="3" customFormat="1" x14ac:dyDescent="0.35">
      <c r="A37" s="4"/>
      <c r="B37" s="4"/>
      <c r="C37" s="4"/>
      <c r="D37" s="8"/>
      <c r="E37" s="4"/>
      <c r="F37" s="4"/>
      <c r="G37" s="5">
        <f>MAX(($B$11-G26),0)</f>
        <v>4.3663499999999971</v>
      </c>
      <c r="I37" s="1"/>
      <c r="J37" s="1"/>
      <c r="K37" s="1"/>
      <c r="L37" s="1"/>
      <c r="M37" s="1"/>
      <c r="N37" s="1"/>
      <c r="O37" s="1"/>
      <c r="P37" s="1"/>
      <c r="Q37" s="1"/>
      <c r="R37" s="1"/>
      <c r="S37" s="1"/>
      <c r="T37" s="1"/>
      <c r="U37" s="1"/>
      <c r="V37" s="1"/>
      <c r="W37" s="1"/>
    </row>
    <row r="38" spans="1:23" s="3" customFormat="1" ht="13.15" x14ac:dyDescent="0.4">
      <c r="A38" s="4"/>
      <c r="B38" s="9"/>
      <c r="C38" s="4"/>
      <c r="D38" s="8"/>
      <c r="E38" s="4"/>
      <c r="F38" s="4"/>
      <c r="G38" s="4"/>
      <c r="I38" s="1"/>
      <c r="J38" s="1"/>
      <c r="K38" s="1"/>
      <c r="L38" s="1"/>
      <c r="M38" s="1"/>
      <c r="N38" s="1"/>
      <c r="O38" s="1"/>
      <c r="P38" s="1"/>
      <c r="Q38" s="1"/>
      <c r="R38" s="1"/>
      <c r="S38" s="1"/>
      <c r="T38" s="1"/>
      <c r="U38" s="1"/>
      <c r="V38" s="1"/>
      <c r="W38" s="1"/>
    </row>
    <row r="40" spans="1:23" ht="15.75" x14ac:dyDescent="0.35">
      <c r="A40" s="50" t="s">
        <v>21</v>
      </c>
      <c r="B40" s="51">
        <f>binomial_eur_put(B7,B8,B9,B10,B11,B12)</f>
        <v>0.1067949868065412</v>
      </c>
    </row>
  </sheetData>
  <mergeCells count="4">
    <mergeCell ref="A28:G29"/>
    <mergeCell ref="E7:F7"/>
    <mergeCell ref="A1:K5"/>
    <mergeCell ref="A16:G1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6"/>
  <sheetViews>
    <sheetView zoomScaleNormal="100" workbookViewId="0">
      <selection activeCell="A33" sqref="A33"/>
    </sheetView>
  </sheetViews>
  <sheetFormatPr defaultRowHeight="14.25" x14ac:dyDescent="0.35"/>
  <cols>
    <col min="1" max="1" width="29.6640625" style="11" bestFit="1" customWidth="1"/>
    <col min="2" max="16384" width="9.06640625" style="11"/>
  </cols>
  <sheetData>
    <row r="1" spans="1:11" x14ac:dyDescent="0.35">
      <c r="A1" s="31" t="s">
        <v>14</v>
      </c>
      <c r="B1" s="32"/>
      <c r="C1" s="32"/>
      <c r="D1" s="32"/>
      <c r="E1" s="32"/>
      <c r="F1" s="32"/>
      <c r="G1" s="32"/>
      <c r="H1" s="32"/>
      <c r="I1" s="32"/>
      <c r="J1" s="32"/>
      <c r="K1" s="33"/>
    </row>
    <row r="2" spans="1:11" x14ac:dyDescent="0.35">
      <c r="A2" s="34"/>
      <c r="B2" s="35"/>
      <c r="C2" s="35"/>
      <c r="D2" s="35"/>
      <c r="E2" s="35"/>
      <c r="F2" s="35"/>
      <c r="G2" s="35"/>
      <c r="H2" s="35"/>
      <c r="I2" s="35"/>
      <c r="J2" s="35"/>
      <c r="K2" s="36"/>
    </row>
    <row r="3" spans="1:11" x14ac:dyDescent="0.35">
      <c r="A3" s="34"/>
      <c r="B3" s="35"/>
      <c r="C3" s="35"/>
      <c r="D3" s="35"/>
      <c r="E3" s="35"/>
      <c r="F3" s="35"/>
      <c r="G3" s="35"/>
      <c r="H3" s="35"/>
      <c r="I3" s="35"/>
      <c r="J3" s="35"/>
      <c r="K3" s="36"/>
    </row>
    <row r="4" spans="1:11" ht="14.65" thickBot="1" x14ac:dyDescent="0.4">
      <c r="A4" s="37"/>
      <c r="B4" s="38"/>
      <c r="C4" s="38"/>
      <c r="D4" s="38"/>
      <c r="E4" s="38"/>
      <c r="F4" s="38"/>
      <c r="G4" s="38"/>
      <c r="H4" s="38"/>
      <c r="I4" s="38"/>
      <c r="J4" s="38"/>
      <c r="K4" s="39"/>
    </row>
    <row r="6" spans="1:11" ht="15.75" x14ac:dyDescent="0.35">
      <c r="A6" s="49" t="s">
        <v>2</v>
      </c>
      <c r="B6" s="13">
        <v>1.1000000000000001</v>
      </c>
      <c r="C6" s="12"/>
      <c r="D6" s="12"/>
      <c r="E6" s="14"/>
      <c r="F6" s="12"/>
      <c r="G6" s="12"/>
      <c r="H6" s="12"/>
      <c r="I6" s="14"/>
      <c r="J6" s="12"/>
      <c r="K6" s="12"/>
    </row>
    <row r="7" spans="1:11" ht="15.75" x14ac:dyDescent="0.35">
      <c r="A7" s="49" t="s">
        <v>3</v>
      </c>
      <c r="B7" s="13">
        <v>0.97</v>
      </c>
      <c r="C7" s="12"/>
      <c r="D7" s="56" t="s">
        <v>1</v>
      </c>
      <c r="E7" s="55"/>
      <c r="F7" s="12"/>
      <c r="G7" s="12"/>
      <c r="H7" s="12"/>
      <c r="I7" s="14"/>
      <c r="J7" s="12"/>
      <c r="K7" s="12"/>
    </row>
    <row r="8" spans="1:11" ht="15.75" x14ac:dyDescent="0.35">
      <c r="A8" s="49" t="s">
        <v>4</v>
      </c>
      <c r="B8" s="13">
        <v>1.06</v>
      </c>
      <c r="C8" s="12"/>
      <c r="D8" s="49" t="s">
        <v>18</v>
      </c>
      <c r="E8" s="15">
        <f>(B8-B7)/(B8*(B6-B7))</f>
        <v>0.65312046444121918</v>
      </c>
      <c r="F8" s="12"/>
      <c r="G8" s="12"/>
      <c r="H8" s="12"/>
      <c r="I8" s="14"/>
      <c r="J8" s="12"/>
      <c r="K8" s="12"/>
    </row>
    <row r="9" spans="1:11" ht="15.75" x14ac:dyDescent="0.35">
      <c r="A9" s="49" t="s">
        <v>5</v>
      </c>
      <c r="B9" s="13">
        <v>50</v>
      </c>
      <c r="C9" s="12"/>
      <c r="D9" s="49" t="s">
        <v>19</v>
      </c>
      <c r="E9" s="15">
        <f>(B6-B8)/(B8*(B6-B7))</f>
        <v>0.29027576197387517</v>
      </c>
      <c r="F9" s="12"/>
      <c r="G9" s="12"/>
      <c r="H9" s="12"/>
      <c r="I9" s="14"/>
      <c r="J9" s="12"/>
      <c r="K9" s="12"/>
    </row>
    <row r="10" spans="1:11" ht="15.75" x14ac:dyDescent="0.35">
      <c r="A10" s="49" t="s">
        <v>6</v>
      </c>
      <c r="B10" s="13">
        <v>50</v>
      </c>
      <c r="C10" s="12"/>
      <c r="D10" s="12"/>
      <c r="E10" s="14"/>
      <c r="F10" s="12"/>
      <c r="G10" s="12"/>
      <c r="H10" s="12"/>
      <c r="I10" s="14"/>
      <c r="J10" s="12"/>
      <c r="K10" s="12"/>
    </row>
    <row r="11" spans="1:11" ht="15.75" x14ac:dyDescent="0.35">
      <c r="A11" s="49" t="s">
        <v>11</v>
      </c>
      <c r="B11" s="53">
        <v>3</v>
      </c>
      <c r="C11" s="12"/>
      <c r="D11" s="12"/>
      <c r="E11" s="14"/>
      <c r="F11" s="12"/>
      <c r="G11" s="12"/>
      <c r="H11" s="12"/>
      <c r="I11" s="14"/>
      <c r="J11" s="12"/>
      <c r="K11" s="12"/>
    </row>
    <row r="12" spans="1:11" x14ac:dyDescent="0.35">
      <c r="A12" s="12"/>
      <c r="B12" s="12"/>
      <c r="C12" s="12"/>
      <c r="D12" s="12"/>
      <c r="E12" s="14"/>
      <c r="F12" s="12"/>
      <c r="G12" s="12"/>
      <c r="H12" s="12"/>
      <c r="I12" s="14"/>
      <c r="J12" s="12"/>
      <c r="K12" s="12"/>
    </row>
    <row r="13" spans="1:11" ht="14.25" customHeight="1" x14ac:dyDescent="0.35">
      <c r="A13" s="52" t="s">
        <v>0</v>
      </c>
      <c r="B13" s="52"/>
      <c r="C13" s="52"/>
      <c r="D13" s="52"/>
      <c r="E13" s="52"/>
      <c r="F13" s="52"/>
      <c r="G13" s="52"/>
      <c r="H13" s="12"/>
      <c r="I13" s="14"/>
      <c r="J13" s="12"/>
      <c r="K13" s="12"/>
    </row>
    <row r="14" spans="1:11" ht="14.25" customHeight="1" x14ac:dyDescent="0.35">
      <c r="A14" s="52"/>
      <c r="B14" s="52"/>
      <c r="C14" s="52"/>
      <c r="D14" s="52"/>
      <c r="E14" s="52"/>
      <c r="F14" s="52"/>
      <c r="G14" s="52"/>
      <c r="H14" s="12"/>
      <c r="I14" s="14"/>
      <c r="J14" s="12"/>
      <c r="K14" s="12"/>
    </row>
    <row r="15" spans="1:11" ht="15.75" x14ac:dyDescent="0.4">
      <c r="A15" s="50" t="s">
        <v>7</v>
      </c>
      <c r="B15" s="9"/>
      <c r="C15" s="50" t="s">
        <v>8</v>
      </c>
      <c r="D15" s="5"/>
      <c r="E15" s="50" t="s">
        <v>9</v>
      </c>
      <c r="F15" s="5"/>
      <c r="G15" s="50" t="s">
        <v>10</v>
      </c>
      <c r="H15" s="12"/>
      <c r="I15" s="14"/>
      <c r="J15" s="12"/>
      <c r="K15" s="12"/>
    </row>
    <row r="16" spans="1:11" x14ac:dyDescent="0.35">
      <c r="B16" s="12"/>
      <c r="C16" s="12"/>
      <c r="D16" s="12"/>
      <c r="E16" s="12"/>
      <c r="F16" s="12"/>
      <c r="G16" s="16">
        <f>E17*B6</f>
        <v>66.550000000000026</v>
      </c>
      <c r="H16" s="12"/>
      <c r="I16" s="14"/>
      <c r="J16" s="12"/>
      <c r="K16" s="12"/>
    </row>
    <row r="17" spans="1:11" x14ac:dyDescent="0.35">
      <c r="A17" s="12"/>
      <c r="B17" s="12"/>
      <c r="C17" s="14"/>
      <c r="D17" s="14"/>
      <c r="E17" s="16">
        <f>C18*B6</f>
        <v>60.500000000000014</v>
      </c>
      <c r="F17" s="12"/>
      <c r="G17" s="15"/>
      <c r="H17" s="12"/>
      <c r="I17" s="14"/>
      <c r="J17" s="12"/>
      <c r="K17" s="12"/>
    </row>
    <row r="18" spans="1:11" x14ac:dyDescent="0.35">
      <c r="A18" s="12"/>
      <c r="B18" s="12"/>
      <c r="C18" s="16">
        <f>A19*B6</f>
        <v>55.000000000000007</v>
      </c>
      <c r="D18" s="14"/>
      <c r="E18" s="16"/>
      <c r="F18" s="12"/>
      <c r="G18" s="15">
        <f>E17*B7</f>
        <v>58.685000000000009</v>
      </c>
      <c r="H18" s="12"/>
      <c r="I18" s="14"/>
      <c r="J18" s="12"/>
      <c r="K18" s="12"/>
    </row>
    <row r="19" spans="1:11" x14ac:dyDescent="0.35">
      <c r="A19" s="15">
        <f>B10</f>
        <v>50</v>
      </c>
      <c r="B19" s="12"/>
      <c r="C19" s="16"/>
      <c r="D19" s="14"/>
      <c r="E19" s="16">
        <f>C18*B7</f>
        <v>53.350000000000009</v>
      </c>
      <c r="F19" s="12"/>
      <c r="G19" s="15"/>
      <c r="H19" s="12"/>
      <c r="I19" s="14"/>
      <c r="J19" s="12"/>
      <c r="K19" s="12"/>
    </row>
    <row r="20" spans="1:11" x14ac:dyDescent="0.35">
      <c r="A20" s="12"/>
      <c r="B20" s="12"/>
      <c r="C20" s="16">
        <f>A19*B7</f>
        <v>48.5</v>
      </c>
      <c r="D20" s="14"/>
      <c r="E20" s="16"/>
      <c r="F20" s="12"/>
      <c r="G20" s="15">
        <f>E19*B7</f>
        <v>51.749500000000005</v>
      </c>
      <c r="H20" s="12"/>
      <c r="I20" s="14"/>
      <c r="J20" s="12"/>
      <c r="K20" s="12"/>
    </row>
    <row r="21" spans="1:11" x14ac:dyDescent="0.35">
      <c r="A21" s="12"/>
      <c r="B21" s="12"/>
      <c r="C21" s="17"/>
      <c r="D21" s="12"/>
      <c r="E21" s="16">
        <f>C20*B7</f>
        <v>47.045000000000002</v>
      </c>
      <c r="F21" s="12"/>
      <c r="G21" s="15"/>
      <c r="H21" s="12"/>
    </row>
    <row r="22" spans="1:11" x14ac:dyDescent="0.35">
      <c r="A22" s="12"/>
      <c r="B22" s="12"/>
      <c r="C22" s="17"/>
      <c r="D22" s="12"/>
      <c r="E22" s="16"/>
      <c r="F22" s="12"/>
      <c r="G22" s="15">
        <f>E21*B7</f>
        <v>45.633650000000003</v>
      </c>
      <c r="H22" s="12"/>
    </row>
    <row r="23" spans="1:11" x14ac:dyDescent="0.35">
      <c r="A23" s="12"/>
      <c r="B23" s="12"/>
      <c r="C23" s="17"/>
      <c r="D23" s="12"/>
      <c r="E23" s="16"/>
      <c r="F23" s="12"/>
      <c r="G23" s="15"/>
      <c r="H23" s="12"/>
    </row>
    <row r="24" spans="1:11" x14ac:dyDescent="0.35">
      <c r="A24" s="52" t="s">
        <v>12</v>
      </c>
      <c r="B24" s="52"/>
      <c r="C24" s="52"/>
      <c r="D24" s="52"/>
      <c r="E24" s="52"/>
      <c r="F24" s="52"/>
      <c r="G24" s="52"/>
      <c r="H24" s="12"/>
    </row>
    <row r="25" spans="1:11" x14ac:dyDescent="0.35">
      <c r="A25" s="52"/>
      <c r="B25" s="52"/>
      <c r="C25" s="52"/>
      <c r="D25" s="52"/>
      <c r="E25" s="52"/>
      <c r="F25" s="52"/>
      <c r="G25" s="52"/>
      <c r="H25" s="12"/>
    </row>
    <row r="26" spans="1:11" ht="15.75" x14ac:dyDescent="0.4">
      <c r="A26" s="50" t="s">
        <v>7</v>
      </c>
      <c r="B26" s="9"/>
      <c r="C26" s="50" t="s">
        <v>8</v>
      </c>
      <c r="D26" s="5"/>
      <c r="E26" s="50" t="s">
        <v>9</v>
      </c>
      <c r="F26" s="5"/>
      <c r="G26" s="50" t="s">
        <v>10</v>
      </c>
      <c r="H26" s="12"/>
    </row>
    <row r="27" spans="1:11" x14ac:dyDescent="0.35">
      <c r="A27" s="12"/>
      <c r="B27" s="12"/>
      <c r="C27" s="12"/>
      <c r="D27" s="12"/>
      <c r="E27" s="14"/>
      <c r="F27" s="18"/>
      <c r="G27" s="15">
        <f>MAX(($B$10-G16),0)</f>
        <v>0</v>
      </c>
      <c r="H27" s="12"/>
    </row>
    <row r="28" spans="1:11" x14ac:dyDescent="0.35">
      <c r="A28" s="12"/>
      <c r="B28" s="12"/>
      <c r="C28" s="14"/>
      <c r="D28" s="14"/>
      <c r="E28" s="19">
        <f>MAX(MAX($B$10-E17,0),$E$8*G27+$E$9*G29)</f>
        <v>0</v>
      </c>
      <c r="F28" s="12"/>
      <c r="G28" s="15"/>
      <c r="H28" s="12"/>
    </row>
    <row r="29" spans="1:11" x14ac:dyDescent="0.35">
      <c r="A29" s="12"/>
      <c r="B29" s="12"/>
      <c r="C29" s="19">
        <f>MAX(MAX($B$10-C18,0),$E$8*E28+$E$9*E30)</f>
        <v>0</v>
      </c>
      <c r="D29" s="14"/>
      <c r="E29" s="17"/>
      <c r="F29" s="12"/>
      <c r="G29" s="15">
        <f>MAX(($B$10-G18),0)</f>
        <v>0</v>
      </c>
      <c r="H29" s="12"/>
    </row>
    <row r="30" spans="1:11" ht="15.75" x14ac:dyDescent="0.35">
      <c r="A30" s="51">
        <f>MAX(MAX($B$10-A19,0),$E$8*C29+$E$9*C31)</f>
        <v>0.43541364296081275</v>
      </c>
      <c r="B30" s="12"/>
      <c r="C30" s="14"/>
      <c r="D30" s="14"/>
      <c r="E30" s="19">
        <f>MAX(MAX($B$10-E19,0),$E$8*G29+$E$9*G31)</f>
        <v>0</v>
      </c>
      <c r="F30" s="12"/>
      <c r="G30" s="15"/>
      <c r="H30" s="12"/>
    </row>
    <row r="31" spans="1:11" x14ac:dyDescent="0.35">
      <c r="A31" s="12"/>
      <c r="B31" s="12"/>
      <c r="C31" s="19">
        <f>MAX(MAX($B$10-C20,0),$E$8*E30+$E$9*E32)</f>
        <v>1.5</v>
      </c>
      <c r="D31" s="14"/>
      <c r="E31" s="17"/>
      <c r="F31" s="12"/>
      <c r="G31" s="15">
        <f>MAX(($B$10-G20),0)</f>
        <v>0</v>
      </c>
      <c r="H31" s="12"/>
    </row>
    <row r="32" spans="1:11" x14ac:dyDescent="0.35">
      <c r="A32" s="12"/>
      <c r="B32" s="12"/>
      <c r="C32" s="12"/>
      <c r="D32" s="12"/>
      <c r="E32" s="19">
        <f>MAX(MAX($B$10-E21,0),$E$8*G31+$E$9*G33)</f>
        <v>2.9549999999999983</v>
      </c>
      <c r="F32" s="18"/>
      <c r="G32" s="15"/>
      <c r="H32" s="12"/>
    </row>
    <row r="33" spans="1:8" x14ac:dyDescent="0.35">
      <c r="A33" s="12"/>
      <c r="B33" s="12"/>
      <c r="C33" s="12"/>
      <c r="D33" s="12"/>
      <c r="E33" s="14"/>
      <c r="F33" s="12"/>
      <c r="G33" s="15">
        <f>MAX(($B$10-G22),0)</f>
        <v>4.3663499999999971</v>
      </c>
      <c r="H33" s="12"/>
    </row>
    <row r="34" spans="1:8" ht="15.75" x14ac:dyDescent="0.35">
      <c r="A34" s="50" t="s">
        <v>20</v>
      </c>
      <c r="B34" s="51">
        <f t="array" ref="B34">binomial_amer_put(B6,B7,B8,B9,B10,B11)</f>
        <v>0.43541364296081259</v>
      </c>
      <c r="C34" s="12"/>
      <c r="D34" s="12"/>
      <c r="E34" s="14"/>
      <c r="F34" s="12"/>
      <c r="G34" s="12"/>
      <c r="H34" s="12"/>
    </row>
    <row r="35" spans="1:8" x14ac:dyDescent="0.35">
      <c r="A35" s="12"/>
      <c r="B35" s="20"/>
      <c r="C35" s="12"/>
      <c r="D35" s="12"/>
      <c r="E35" s="14"/>
      <c r="F35" s="12"/>
      <c r="G35" s="12"/>
      <c r="H35" s="12"/>
    </row>
    <row r="36" spans="1:8" x14ac:dyDescent="0.35">
      <c r="A36" s="12"/>
      <c r="B36" s="12"/>
      <c r="C36" s="12"/>
      <c r="D36" s="12"/>
      <c r="E36" s="14"/>
      <c r="F36" s="12"/>
      <c r="G36" s="12"/>
      <c r="H36" s="12"/>
    </row>
  </sheetData>
  <mergeCells count="4">
    <mergeCell ref="A1:K4"/>
    <mergeCell ref="A13:G14"/>
    <mergeCell ref="A24:G25"/>
    <mergeCell ref="D7:E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7"/>
  <sheetViews>
    <sheetView workbookViewId="0">
      <selection activeCell="C18" sqref="C18"/>
    </sheetView>
  </sheetViews>
  <sheetFormatPr defaultRowHeight="12.75" x14ac:dyDescent="0.35"/>
  <sheetData>
    <row r="1" spans="1:12" ht="12.75" customHeight="1" x14ac:dyDescent="0.35">
      <c r="A1" s="40" t="s">
        <v>15</v>
      </c>
      <c r="B1" s="41"/>
      <c r="C1" s="41"/>
      <c r="D1" s="41"/>
      <c r="E1" s="41"/>
      <c r="F1" s="41"/>
      <c r="G1" s="41"/>
      <c r="H1" s="41"/>
      <c r="I1" s="41"/>
      <c r="J1" s="41"/>
      <c r="K1" s="41"/>
      <c r="L1" s="42"/>
    </row>
    <row r="2" spans="1:12" ht="12.75" customHeight="1" x14ac:dyDescent="0.35">
      <c r="A2" s="43"/>
      <c r="B2" s="44"/>
      <c r="C2" s="44"/>
      <c r="D2" s="44"/>
      <c r="E2" s="44"/>
      <c r="F2" s="44"/>
      <c r="G2" s="44"/>
      <c r="H2" s="44"/>
      <c r="I2" s="44"/>
      <c r="J2" s="44"/>
      <c r="K2" s="44"/>
      <c r="L2" s="45"/>
    </row>
    <row r="3" spans="1:12" ht="12.75" customHeight="1" x14ac:dyDescent="0.35">
      <c r="A3" s="43"/>
      <c r="B3" s="44"/>
      <c r="C3" s="44"/>
      <c r="D3" s="44"/>
      <c r="E3" s="44"/>
      <c r="F3" s="44"/>
      <c r="G3" s="44"/>
      <c r="H3" s="44"/>
      <c r="I3" s="44"/>
      <c r="J3" s="44"/>
      <c r="K3" s="44"/>
      <c r="L3" s="45"/>
    </row>
    <row r="4" spans="1:12" ht="12.75" customHeight="1" x14ac:dyDescent="0.35">
      <c r="A4" s="43"/>
      <c r="B4" s="44"/>
      <c r="C4" s="44"/>
      <c r="D4" s="44"/>
      <c r="E4" s="44"/>
      <c r="F4" s="44"/>
      <c r="G4" s="44"/>
      <c r="H4" s="44"/>
      <c r="I4" s="44"/>
      <c r="J4" s="44"/>
      <c r="K4" s="44"/>
      <c r="L4" s="45"/>
    </row>
    <row r="5" spans="1:12" x14ac:dyDescent="0.35">
      <c r="A5" s="43"/>
      <c r="B5" s="44"/>
      <c r="C5" s="44"/>
      <c r="D5" s="44"/>
      <c r="E5" s="44"/>
      <c r="F5" s="44"/>
      <c r="G5" s="44"/>
      <c r="H5" s="44"/>
      <c r="I5" s="44"/>
      <c r="J5" s="44"/>
      <c r="K5" s="44"/>
      <c r="L5" s="45"/>
    </row>
    <row r="6" spans="1:12" ht="13.15" thickBot="1" x14ac:dyDescent="0.4">
      <c r="A6" s="46"/>
      <c r="B6" s="47"/>
      <c r="C6" s="47"/>
      <c r="D6" s="47"/>
      <c r="E6" s="47"/>
      <c r="F6" s="47"/>
      <c r="G6" s="47"/>
      <c r="H6" s="47"/>
      <c r="I6" s="47"/>
      <c r="J6" s="47"/>
      <c r="K6" s="47"/>
      <c r="L6" s="48"/>
    </row>
    <row r="8" spans="1:12" ht="13.15" thickBot="1" x14ac:dyDescent="0.4"/>
    <row r="9" spans="1:12" ht="12.75" customHeight="1" x14ac:dyDescent="0.35">
      <c r="A9" s="40" t="s">
        <v>22</v>
      </c>
      <c r="B9" s="41"/>
      <c r="C9" s="41"/>
      <c r="D9" s="41"/>
      <c r="E9" s="41"/>
      <c r="F9" s="41"/>
      <c r="G9" s="41"/>
      <c r="H9" s="41"/>
      <c r="I9" s="41"/>
      <c r="J9" s="41"/>
      <c r="K9" s="41"/>
      <c r="L9" s="42"/>
    </row>
    <row r="10" spans="1:12" ht="12.75" customHeight="1" x14ac:dyDescent="0.35">
      <c r="A10" s="43"/>
      <c r="B10" s="44"/>
      <c r="C10" s="44"/>
      <c r="D10" s="44"/>
      <c r="E10" s="44"/>
      <c r="F10" s="44"/>
      <c r="G10" s="44"/>
      <c r="H10" s="44"/>
      <c r="I10" s="44"/>
      <c r="J10" s="44"/>
      <c r="K10" s="44"/>
      <c r="L10" s="45"/>
    </row>
    <row r="11" spans="1:12" ht="12.75" customHeight="1" x14ac:dyDescent="0.35">
      <c r="A11" s="43"/>
      <c r="B11" s="44"/>
      <c r="C11" s="44"/>
      <c r="D11" s="44"/>
      <c r="E11" s="44"/>
      <c r="F11" s="44"/>
      <c r="G11" s="44"/>
      <c r="H11" s="44"/>
      <c r="I11" s="44"/>
      <c r="J11" s="44"/>
      <c r="K11" s="44"/>
      <c r="L11" s="45"/>
    </row>
    <row r="12" spans="1:12" ht="12.75" customHeight="1" x14ac:dyDescent="0.35">
      <c r="A12" s="43"/>
      <c r="B12" s="44"/>
      <c r="C12" s="44"/>
      <c r="D12" s="44"/>
      <c r="E12" s="44"/>
      <c r="F12" s="44"/>
      <c r="G12" s="44"/>
      <c r="H12" s="44"/>
      <c r="I12" s="44"/>
      <c r="J12" s="44"/>
      <c r="K12" s="44"/>
      <c r="L12" s="45"/>
    </row>
    <row r="13" spans="1:12" ht="12.75" customHeight="1" x14ac:dyDescent="0.35">
      <c r="A13" s="43"/>
      <c r="B13" s="44"/>
      <c r="C13" s="44"/>
      <c r="D13" s="44"/>
      <c r="E13" s="44"/>
      <c r="F13" s="44"/>
      <c r="G13" s="44"/>
      <c r="H13" s="44"/>
      <c r="I13" s="44"/>
      <c r="J13" s="44"/>
      <c r="K13" s="44"/>
      <c r="L13" s="45"/>
    </row>
    <row r="14" spans="1:12" ht="13.15" customHeight="1" x14ac:dyDescent="0.35">
      <c r="A14" s="43"/>
      <c r="B14" s="44"/>
      <c r="C14" s="44"/>
      <c r="D14" s="44"/>
      <c r="E14" s="44"/>
      <c r="F14" s="44"/>
      <c r="G14" s="44"/>
      <c r="H14" s="44"/>
      <c r="I14" s="44"/>
      <c r="J14" s="44"/>
      <c r="K14" s="44"/>
      <c r="L14" s="45"/>
    </row>
    <row r="15" spans="1:12" x14ac:dyDescent="0.35">
      <c r="A15" s="43"/>
      <c r="B15" s="44"/>
      <c r="C15" s="44"/>
      <c r="D15" s="44"/>
      <c r="E15" s="44"/>
      <c r="F15" s="44"/>
      <c r="G15" s="44"/>
      <c r="H15" s="44"/>
      <c r="I15" s="44"/>
      <c r="J15" s="44"/>
      <c r="K15" s="44"/>
      <c r="L15" s="45"/>
    </row>
    <row r="16" spans="1:12" x14ac:dyDescent="0.35">
      <c r="A16" s="43"/>
      <c r="B16" s="44"/>
      <c r="C16" s="44"/>
      <c r="D16" s="44"/>
      <c r="E16" s="44"/>
      <c r="F16" s="44"/>
      <c r="G16" s="44"/>
      <c r="H16" s="44"/>
      <c r="I16" s="44"/>
      <c r="J16" s="44"/>
      <c r="K16" s="44"/>
      <c r="L16" s="45"/>
    </row>
    <row r="17" spans="1:12" ht="13.15" thickBot="1" x14ac:dyDescent="0.4">
      <c r="A17" s="46"/>
      <c r="B17" s="47"/>
      <c r="C17" s="47"/>
      <c r="D17" s="47"/>
      <c r="E17" s="47"/>
      <c r="F17" s="47"/>
      <c r="G17" s="47"/>
      <c r="H17" s="47"/>
      <c r="I17" s="47"/>
      <c r="J17" s="47"/>
      <c r="K17" s="47"/>
      <c r="L17" s="48"/>
    </row>
  </sheetData>
  <mergeCells count="2">
    <mergeCell ref="A1:L6"/>
    <mergeCell ref="A9:L1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
  <sheetViews>
    <sheetView workbookViewId="0">
      <selection activeCell="A22" sqref="A22"/>
    </sheetView>
  </sheetViews>
  <sheetFormatPr defaultRowHeight="12.75" x14ac:dyDescent="0.35"/>
  <cols>
    <col min="1" max="1" width="33.265625" customWidth="1"/>
    <col min="2" max="2" width="21.265625" customWidth="1"/>
    <col min="3" max="3" width="15" customWidth="1"/>
  </cols>
  <sheetData>
    <row r="1" spans="1:3" ht="21" x14ac:dyDescent="0.35">
      <c r="A1" s="57" t="s">
        <v>16</v>
      </c>
      <c r="B1" s="57"/>
      <c r="C1" s="58"/>
    </row>
    <row r="2" spans="1:3" ht="15.75" x14ac:dyDescent="0.35">
      <c r="A2" s="49" t="s">
        <v>2</v>
      </c>
      <c r="B2" s="2">
        <v>1.1000000000000001</v>
      </c>
      <c r="C2" s="1"/>
    </row>
    <row r="3" spans="1:3" ht="15.75" x14ac:dyDescent="0.35">
      <c r="A3" s="49" t="s">
        <v>3</v>
      </c>
      <c r="B3" s="2">
        <v>0.97</v>
      </c>
      <c r="C3" s="1"/>
    </row>
    <row r="4" spans="1:3" ht="15.75" x14ac:dyDescent="0.35">
      <c r="A4" s="49" t="s">
        <v>4</v>
      </c>
      <c r="B4" s="2">
        <v>1.06</v>
      </c>
      <c r="C4" s="1"/>
    </row>
    <row r="5" spans="1:3" ht="15.75" x14ac:dyDescent="0.35">
      <c r="A5" s="49" t="s">
        <v>5</v>
      </c>
      <c r="B5" s="2">
        <v>50</v>
      </c>
      <c r="C5" s="1"/>
    </row>
    <row r="6" spans="1:3" ht="15.75" x14ac:dyDescent="0.35">
      <c r="A6" s="49" t="s">
        <v>6</v>
      </c>
      <c r="B6" s="2">
        <v>50</v>
      </c>
    </row>
    <row r="7" spans="1:3" ht="15.75" x14ac:dyDescent="0.35">
      <c r="A7" s="49" t="s">
        <v>11</v>
      </c>
      <c r="B7" s="2">
        <v>3</v>
      </c>
    </row>
    <row r="8" spans="1:3" x14ac:dyDescent="0.35">
      <c r="A8" s="1"/>
      <c r="B8" s="1"/>
    </row>
    <row r="9" spans="1:3" ht="15.75" x14ac:dyDescent="0.35">
      <c r="A9" s="50" t="s">
        <v>20</v>
      </c>
      <c r="B9" s="51">
        <f t="array" ref="B9">binomial_amer_put(B2,B3,B4,B5,B6,B7)</f>
        <v>0.43541364296081259</v>
      </c>
    </row>
    <row r="10" spans="1:3" ht="15.75" x14ac:dyDescent="0.35">
      <c r="A10" s="50" t="s">
        <v>21</v>
      </c>
      <c r="B10" s="51">
        <f t="array" ref="B10">binomial_eur_put(B2,B3,B4,B5,B6,B7)</f>
        <v>0.1067949868065412</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Part(a)</vt:lpstr>
      <vt:lpstr>Part (b)</vt:lpstr>
      <vt:lpstr>Part (c)</vt:lpstr>
      <vt:lpstr>Part(d)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Benninga</dc:creator>
  <cp:lastModifiedBy>Zahra Rahmati</cp:lastModifiedBy>
  <cp:lastPrinted>1997-04-26T18:50:38Z</cp:lastPrinted>
  <dcterms:created xsi:type="dcterms:W3CDTF">1997-05-27T07:04:02Z</dcterms:created>
  <dcterms:modified xsi:type="dcterms:W3CDTF">2024-04-07T01:20:15Z</dcterms:modified>
</cp:coreProperties>
</file>